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Settings" state="visible" r:id="rId5"/>
    <sheet sheetId="3" name="Properties" state="visible" r:id="rId6"/>
    <sheet sheetId="4" name="Categories" state="visible" r:id="rId7"/>
    <sheet sheetId="5" name="Income" state="visible" r:id="rId8"/>
    <sheet sheetId="6" name="Expenses" state="visible" r:id="rId9"/>
    <sheet sheetId="7" name="_calc" state="hidden" r:id="rId10"/>
    <sheet sheetId="8" name="Dashboard" state="visible" r:id="rId11"/>
    <sheet sheetId="9" name="Monthly P&amp;L" state="visible" r:id="rId12"/>
    <sheet sheetId="10" name="Cashflow" state="visible" r:id="rId13"/>
  </sheets>
  <calcPr calcId="171027"/>
</workbook>
</file>

<file path=xl/sharedStrings.xml><?xml version="1.0" encoding="utf-8"?>
<sst xmlns="http://schemas.openxmlformats.org/spreadsheetml/2006/main" count="314" uniqueCount="161">
  <si>
    <t xml:space="preserve">  nogvia Finance Tracker</t>
  </si>
  <si>
    <t xml:space="preserve">  Short-term rental income &amp; expense dashboard</t>
  </si>
  <si>
    <t>Quick start</t>
  </si>
  <si>
    <t>STEP 1</t>
  </si>
  <si>
    <t>Open Settings</t>
  </si>
  <si>
    <t>Set currency, fiscal year, and reporting year.</t>
  </si>
  <si>
    <t>STEP 2</t>
  </si>
  <si>
    <t>Add properties</t>
  </si>
  <si>
    <t>List each rental on the Properties tab.</t>
  </si>
  <si>
    <t>STEP 3</t>
  </si>
  <si>
    <t>Log income</t>
  </si>
  <si>
    <t>Record bookings on the Income tab.</t>
  </si>
  <si>
    <t>STEP 4</t>
  </si>
  <si>
    <t>Log expenses</t>
  </si>
  <si>
    <t>Track costs on the Expenses tab.</t>
  </si>
  <si>
    <t>STEP 5</t>
  </si>
  <si>
    <t>Review dashboard</t>
  </si>
  <si>
    <t>Use the property filter and review KPIs, tables, and metrics.</t>
  </si>
  <si>
    <t>Tab guide</t>
  </si>
  <si>
    <t>Tab</t>
  </si>
  <si>
    <t>Purpose</t>
  </si>
  <si>
    <t/>
  </si>
  <si>
    <t>Dashboard</t>
  </si>
  <si>
    <t>Command center — KPIs, platform breakdown, performance metrics</t>
  </si>
  <si>
    <t>Income</t>
  </si>
  <si>
    <t>Booking log — nights and net revenue auto-calculate</t>
  </si>
  <si>
    <t>Expenses</t>
  </si>
  <si>
    <t>Operating costs by property and category</t>
  </si>
  <si>
    <t>Properties</t>
  </si>
  <si>
    <t>Your rental portfolio</t>
  </si>
  <si>
    <t>Categories</t>
  </si>
  <si>
    <t>Expense categories and monthly budgets</t>
  </si>
  <si>
    <t>Monthly P&amp;L</t>
  </si>
  <si>
    <t>Month-by-month profit &amp; loss</t>
  </si>
  <si>
    <t>Cashflow</t>
  </si>
  <si>
    <t>Cash in vs cash out by month</t>
  </si>
  <si>
    <t>Settings</t>
  </si>
  <si>
    <t>Currency, fiscal year, tax rate, RevPAR inputs</t>
  </si>
  <si>
    <t>Sample Q1 data is included as a demo — delete or overwrite. Gray cells are formulas; do not edit.</t>
  </si>
  <si>
    <t>Configuration — edit values in column C</t>
  </si>
  <si>
    <t>Setting</t>
  </si>
  <si>
    <t>Value</t>
  </si>
  <si>
    <t>Description</t>
  </si>
  <si>
    <t>Default currency</t>
  </si>
  <si>
    <t>USD</t>
  </si>
  <si>
    <t>Display currency for dashboard KPIs</t>
  </si>
  <si>
    <t>Fiscal year start</t>
  </si>
  <si>
    <t>First day of your fiscal year</t>
  </si>
  <si>
    <t>Reporting year</t>
  </si>
  <si>
    <t>Year used for monthly reports</t>
  </si>
  <si>
    <t>Tax rate (%)</t>
  </si>
  <si>
    <t>Optional — for estimated tax reserve</t>
  </si>
  <si>
    <t>Available nights / property / year</t>
  </si>
  <si>
    <t>Used for RevPAR and occupancy</t>
  </si>
  <si>
    <t>Your rental portfolio — add up to 50 properties</t>
  </si>
  <si>
    <t>Property Name</t>
  </si>
  <si>
    <t>Code</t>
  </si>
  <si>
    <t>Currency</t>
  </si>
  <si>
    <t>Bedrooms</t>
  </si>
  <si>
    <t>Active</t>
  </si>
  <si>
    <t>Notes</t>
  </si>
  <si>
    <t>Property 1</t>
  </si>
  <si>
    <t>P1</t>
  </si>
  <si>
    <t>Yes</t>
  </si>
  <si>
    <t>Property 2</t>
  </si>
  <si>
    <t>P2</t>
  </si>
  <si>
    <t>Expense categories with optional monthly budgets</t>
  </si>
  <si>
    <t>Category</t>
  </si>
  <si>
    <t>Type</t>
  </si>
  <si>
    <t>Monthly Budget</t>
  </si>
  <si>
    <t>Cleaning</t>
  </si>
  <si>
    <t>Variable</t>
  </si>
  <si>
    <t>Maintenance</t>
  </si>
  <si>
    <t>Utilities</t>
  </si>
  <si>
    <t>Fixed</t>
  </si>
  <si>
    <t>Insurance</t>
  </si>
  <si>
    <t>Mortgage / Rent</t>
  </si>
  <si>
    <t>Supplies</t>
  </si>
  <si>
    <t>Marketing</t>
  </si>
  <si>
    <t>Platform Fees</t>
  </si>
  <si>
    <t>Property Tax</t>
  </si>
  <si>
    <t>HOA</t>
  </si>
  <si>
    <t>Landscaping</t>
  </si>
  <si>
    <t>Pest Control</t>
  </si>
  <si>
    <t>Furniture</t>
  </si>
  <si>
    <t>Repairs</t>
  </si>
  <si>
    <t>Professional Services</t>
  </si>
  <si>
    <t>Other</t>
  </si>
  <si>
    <t xml:space="preserve">  Income</t>
  </si>
  <si>
    <t xml:space="preserve">  Booking log — nights and net revenue calculate automatically</t>
  </si>
  <si>
    <t>Date</t>
  </si>
  <si>
    <t>Property</t>
  </si>
  <si>
    <t>Platform</t>
  </si>
  <si>
    <t>Check-in</t>
  </si>
  <si>
    <t>Check-out</t>
  </si>
  <si>
    <t>Nights</t>
  </si>
  <si>
    <t>Gross Revenue</t>
  </si>
  <si>
    <t>Cleaning Fee</t>
  </si>
  <si>
    <t>Platform Fee</t>
  </si>
  <si>
    <t>Other Fees</t>
  </si>
  <si>
    <t>Net Revenue</t>
  </si>
  <si>
    <t>Airbnb</t>
  </si>
  <si>
    <t>VRBO</t>
  </si>
  <si>
    <t>Direct</t>
  </si>
  <si>
    <t>Booking.com</t>
  </si>
  <si>
    <t xml:space="preserve">  Expenses</t>
  </si>
  <si>
    <t xml:space="preserve">  Operating costs — filter by property or category</t>
  </si>
  <si>
    <t>Vendor</t>
  </si>
  <si>
    <t>Amount</t>
  </si>
  <si>
    <t>Recurring</t>
  </si>
  <si>
    <t>Clean Co</t>
  </si>
  <si>
    <t>Power Co</t>
  </si>
  <si>
    <t>Amazon</t>
  </si>
  <si>
    <t>Lender</t>
  </si>
  <si>
    <t>Handyman</t>
  </si>
  <si>
    <t>InsureCo</t>
  </si>
  <si>
    <t>Internal calculations — do not edit</t>
  </si>
  <si>
    <t>YTD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</si>
  <si>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</si>
  <si>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</si>
  <si>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</si>
  <si>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</si>
  <si>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</si>
  <si>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</si>
  <si>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</si>
  <si>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</si>
  <si>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</si>
  <si>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</si>
  <si>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</si>
  <si>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</si>
  <si>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</si>
  <si>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 amount</t>
  </si>
  <si>
    <t xml:space="preserve">  Command center — enter data on Income &amp; Expenses tabs</t>
  </si>
  <si>
    <t>Property filter</t>
  </si>
  <si>
    <t>All</t>
  </si>
  <si>
    <t>Year to date</t>
  </si>
  <si>
    <t>Income YTD</t>
  </si>
  <si>
    <t>Expenses YTD</t>
  </si>
  <si>
    <t>Net P/L</t>
  </si>
  <si>
    <t>Margin</t>
  </si>
  <si>
    <t>Cashflow YTD</t>
  </si>
  <si>
    <t>Mortgage YTD</t>
  </si>
  <si>
    <t>Revenue by platform (YTD)</t>
  </si>
  <si>
    <t>Share</t>
  </si>
  <si>
    <t>Monthly revenue by platform</t>
  </si>
  <si>
    <t>Performance metrics (YTD)</t>
  </si>
  <si>
    <t>Metric</t>
  </si>
  <si>
    <t>Booked nights</t>
  </si>
  <si>
    <t>Unique bookings</t>
  </si>
  <si>
    <t>Occupancy %</t>
  </si>
  <si>
    <t>ADR</t>
  </si>
  <si>
    <t>RevPAR</t>
  </si>
  <si>
    <t>Platform fees</t>
  </si>
  <si>
    <t>Top expense categories (YTD)</t>
  </si>
  <si>
    <t>Profit &amp; loss by month for the reporting year</t>
  </si>
  <si>
    <t>Revenue</t>
  </si>
  <si>
    <t>Net profit</t>
  </si>
  <si>
    <t>Cash in vs cash out — monthly view</t>
  </si>
  <si>
    <t>Cash in</t>
  </si>
  <si>
    <t>Cash out</t>
  </si>
  <si>
    <t>Net 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</si>
</sst>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0.0%"/>
    <numFmt numFmtId="166" formatCode="$#,##0.00"/>
    <numFmt numFmtId="167" formatCode="&quot;$&quot;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color rgb="FFCBD5E1"/>
      <sz val="11"/>
      <name val="Calibri"/>
    </font>
    <font>
      <b/>
      <color rgb="FF0F172A"/>
      <sz val="12"/>
      <name val="Calibri"/>
    </font>
    <font>
      <b/>
      <color rgb="FF2563EB"/>
      <sz val="10"/>
      <name val="Calibri"/>
    </font>
    <font>
      <b/>
      <color rgb="FF334155"/>
      <sz val="10"/>
      <name val="Calibri"/>
    </font>
    <font>
      <color rgb="FF334155"/>
      <sz val="10"/>
      <name val="Calibri"/>
    </font>
    <font>
      <b/>
      <color rgb="FFFFFFFF"/>
      <sz val="10"/>
      <name val="Calibri"/>
    </font>
    <font>
      <i/>
      <color rgb="FF64748B"/>
      <sz val="10"/>
      <name val="Calibri"/>
    </font>
    <font>
      <color rgb="FF64748B"/>
      <sz val="10"/>
      <name val="Calibri"/>
    </font>
    <font>
      <b/>
      <color rgb="FF0F172A"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F5F3FF"/>
      </patternFill>
    </fill>
    <fill>
      <patternFill patternType="solid">
        <fgColor rgb="FFFFFBEB"/>
      </patternFill>
    </fill>
  </fills>
  <borders count="4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0" fontId="2" fillId="3" borderId="0" xfId="0" applyFont="1" applyFill="1" applyAlignment="1">
      <alignment horizontal="left" vertical="center" indent="1"/>
    </xf>
    <xf numFmtId="0" fontId="0" fillId="4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center" vertical="center"/>
    </xf>
    <xf numFmtId="0" fontId="8" fillId="0" borderId="0" xfId="0" applyFont="1"/>
    <xf numFmtId="0" fontId="5" fillId="6" borderId="2" xfId="0" applyFont="1" applyFill="1" applyBorder="1" applyAlignment="1">
      <alignment horizontal="left" vertical="center" indent="1"/>
    </xf>
    <xf numFmtId="0" fontId="9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164" fontId="6" fillId="5" borderId="2" xfId="0" applyNumberFormat="1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left" vertical="center" indent="1"/>
    </xf>
    <xf numFmtId="166" fontId="6" fillId="5" borderId="2" xfId="0" applyNumberFormat="1" applyFont="1" applyFill="1" applyBorder="1" applyAlignment="1">
      <alignment horizontal="center" vertical="center"/>
    </xf>
    <xf numFmtId="166" fontId="6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left" vertical="center" indent="1"/>
    </xf>
    <xf numFmtId="164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 applyProtection="1">
      <alignment horizontal="center" vertical="center"/>
    </xf>
    <xf numFmtId="166" fontId="6" fillId="6" borderId="2" xfId="0" applyNumberFormat="1" applyFont="1" applyFill="1" applyBorder="1" applyAlignment="1" applyProtection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 applyProtection="1">
      <alignment horizontal="center" vertical="center"/>
    </xf>
    <xf numFmtId="166" fontId="6" fillId="5" borderId="2" xfId="0" applyNumberFormat="1" applyFont="1" applyFill="1" applyBorder="1" applyAlignment="1" applyProtection="1">
      <alignment horizontal="center" vertical="center"/>
    </xf>
    <xf numFmtId="166" fontId="0" fillId="0" borderId="0" xfId="0" applyNumberFormat="1"/>
    <xf numFmtId="166" fontId="5" fillId="0" borderId="0" xfId="0" applyNumberFormat="1" applyFont="1"/>
    <xf numFmtId="0" fontId="6" fillId="7" borderId="3" xfId="0" applyFont="1" applyFill="1" applyBorder="1"/>
    <xf numFmtId="0" fontId="9" fillId="0" borderId="0" xfId="0" applyFont="1"/>
    <xf numFmtId="0" fontId="9" fillId="0" borderId="0" xfId="0" applyFont="1" applyAlignment="1">
      <alignment horizontal="left" vertical="bottom" indent="1"/>
    </xf>
    <xf numFmtId="167" fontId="10" fillId="8" borderId="3" xfId="0" applyNumberFormat="1" applyFont="1" applyFill="1" applyBorder="1" applyAlignment="1">
      <alignment horizontal="left" vertical="center" indent="1"/>
    </xf>
    <xf numFmtId="167" fontId="10" fillId="9" borderId="3" xfId="0" applyNumberFormat="1" applyFont="1" applyFill="1" applyBorder="1" applyAlignment="1">
      <alignment horizontal="left" vertical="center" indent="1"/>
    </xf>
    <xf numFmtId="167" fontId="10" fillId="7" borderId="3" xfId="0" applyNumberFormat="1" applyFont="1" applyFill="1" applyBorder="1" applyAlignment="1">
      <alignment horizontal="left" vertical="center" indent="1"/>
    </xf>
    <xf numFmtId="165" fontId="10" fillId="10" borderId="3" xfId="0" applyNumberFormat="1" applyFont="1" applyFill="1" applyBorder="1" applyAlignment="1">
      <alignment horizontal="left" vertical="center" indent="1"/>
    </xf>
    <xf numFmtId="167" fontId="10" fillId="11" borderId="3" xfId="0" applyNumberFormat="1" applyFont="1" applyFill="1" applyBorder="1" applyAlignment="1">
      <alignment horizontal="left" vertical="center" indent="1"/>
    </xf>
    <xf numFmtId="167" fontId="6" fillId="5" borderId="2" xfId="0" applyNumberFormat="1" applyFont="1" applyFill="1" applyBorder="1" applyAlignment="1">
      <alignment horizontal="left" vertical="center" indent="1"/>
    </xf>
    <xf numFmtId="165" fontId="6" fillId="5" borderId="2" xfId="0" applyNumberFormat="1" applyFont="1" applyFill="1" applyBorder="1" applyAlignment="1">
      <alignment horizontal="center" vertical="center"/>
    </xf>
    <xf numFmtId="167" fontId="6" fillId="6" borderId="2" xfId="0" applyNumberFormat="1" applyFont="1" applyFill="1" applyBorder="1" applyAlignment="1">
      <alignment horizontal="left" vertical="center" indent="1"/>
    </xf>
    <xf numFmtId="165" fontId="6" fillId="6" borderId="2" xfId="0" applyNumberFormat="1" applyFont="1" applyFill="1" applyBorder="1" applyAlignment="1">
      <alignment horizontal="center" vertical="center"/>
    </xf>
    <xf numFmtId="167" fontId="6" fillId="5" borderId="2" xfId="0" applyNumberFormat="1" applyFont="1" applyFill="1" applyBorder="1" applyAlignment="1">
      <alignment horizontal="center" vertical="center"/>
    </xf>
    <xf numFmtId="167" fontId="6" fillId="6" borderId="2" xfId="0" applyNumberFormat="1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left" vertical="center" indent="1"/>
    </xf>
    <xf numFmtId="1" fontId="6" fillId="6" borderId="2" xfId="0" applyNumberFormat="1" applyFont="1" applyFill="1" applyBorder="1" applyAlignment="1">
      <alignment horizontal="left" vertical="center" indent="1"/>
    </xf>
    <xf numFmtId="166" fontId="6" fillId="5" borderId="2" xfId="0" applyNumberFormat="1" applyFont="1" applyFill="1" applyBorder="1" applyAlignment="1">
      <alignment horizontal="left" vertical="center" indent="1"/>
    </xf>
    <xf numFmtId="166" fontId="6" fillId="6" borderId="2" xfId="0" applyNumberFormat="1" applyFont="1" applyFill="1" applyBorder="1" applyAlignment="1">
      <alignment horizontal="left" vertical="center" indent="1"/>
    </xf>
    <xf numFmtId="166" fontId="0" fillId="7" borderId="0" xfId="0" applyNumberFormat="1" applyFill="1"/>
    <xf numFmtId="166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H24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5" width="28" customWidth="1"/>
    <col min="6" max="8" width="4" customWidth="1"/>
  </cols>
  <sheetData>
    <row r="1" ht="34" customHeight="1" spans="1:8" x14ac:dyDescent="0.25">
      <c r="A1" s="1"/>
      <c r="B1" s="2" t="s">
        <v>0</v>
      </c>
      <c r="C1" s="2"/>
      <c r="D1" s="2"/>
      <c r="E1" s="2"/>
      <c r="F1" s="2"/>
      <c r="G1" s="2"/>
      <c r="H1" s="2"/>
    </row>
    <row r="2" ht="22" customHeight="1" spans="1:8" x14ac:dyDescent="0.25">
      <c r="A2" s="3"/>
      <c r="B2" s="4" t="s">
        <v>1</v>
      </c>
      <c r="C2" s="4"/>
      <c r="D2" s="4"/>
      <c r="E2" s="4"/>
      <c r="F2" s="4"/>
      <c r="G2" s="4"/>
      <c r="H2" s="4"/>
    </row>
    <row r="3" ht="8" customHeight="1" spans="1:8" x14ac:dyDescent="0.25">
      <c r="A3" s="5"/>
      <c r="B3" s="5"/>
      <c r="C3" s="5"/>
      <c r="D3" s="5"/>
      <c r="E3" s="5"/>
      <c r="F3" s="5"/>
      <c r="G3" s="5"/>
      <c r="H3" s="5"/>
    </row>
    <row r="5" spans="2:2" x14ac:dyDescent="0.25">
      <c r="B5" s="6" t="s">
        <v>2</v>
      </c>
    </row>
    <row r="6" spans="2:6" x14ac:dyDescent="0.25">
      <c r="B6" s="7" t="s">
        <v>3</v>
      </c>
      <c r="C6" s="8" t="s">
        <v>4</v>
      </c>
      <c r="D6" s="9" t="s">
        <v>5</v>
      </c>
      <c r="E6" s="9"/>
      <c r="F6" s="9"/>
    </row>
    <row r="7" spans="2:6" x14ac:dyDescent="0.25">
      <c r="B7" s="7" t="s">
        <v>6</v>
      </c>
      <c r="C7" s="8" t="s">
        <v>7</v>
      </c>
      <c r="D7" s="9" t="s">
        <v>8</v>
      </c>
      <c r="E7" s="9"/>
      <c r="F7" s="9"/>
    </row>
    <row r="8" spans="2:6" x14ac:dyDescent="0.25">
      <c r="B8" s="7" t="s">
        <v>9</v>
      </c>
      <c r="C8" s="8" t="s">
        <v>10</v>
      </c>
      <c r="D8" s="9" t="s">
        <v>11</v>
      </c>
      <c r="E8" s="9"/>
      <c r="F8" s="9"/>
    </row>
    <row r="9" spans="2:6" x14ac:dyDescent="0.25">
      <c r="B9" s="7" t="s">
        <v>12</v>
      </c>
      <c r="C9" s="8" t="s">
        <v>13</v>
      </c>
      <c r="D9" s="9" t="s">
        <v>14</v>
      </c>
      <c r="E9" s="9"/>
      <c r="F9" s="9"/>
    </row>
    <row r="10" spans="2:6" x14ac:dyDescent="0.25">
      <c r="B10" s="7" t="s">
        <v>15</v>
      </c>
      <c r="C10" s="8" t="s">
        <v>16</v>
      </c>
      <c r="D10" s="9" t="s">
        <v>17</v>
      </c>
      <c r="E10" s="9"/>
      <c r="F10" s="9"/>
    </row>
    <row r="12" spans="2:2" x14ac:dyDescent="0.25">
      <c r="B12" s="6" t="s">
        <v>18</v>
      </c>
    </row>
    <row r="13" ht="24" customHeight="1" spans="2:7" x14ac:dyDescent="0.25">
      <c r="B13" s="10" t="s">
        <v>19</v>
      </c>
      <c r="C13" s="10" t="s">
        <v>20</v>
      </c>
      <c r="D13" s="10"/>
      <c r="E13" s="10"/>
      <c r="F13" s="10"/>
      <c r="G13" s="10" t="s">
        <v>21</v>
      </c>
    </row>
    <row r="14" ht="20" customHeight="1" spans="2:6" x14ac:dyDescent="0.25">
      <c r="B14" s="11" t="s">
        <v>22</v>
      </c>
      <c r="C14" s="12" t="s">
        <v>23</v>
      </c>
      <c r="D14" s="12"/>
      <c r="E14" s="12"/>
      <c r="F14" s="12"/>
    </row>
    <row r="15" ht="20" customHeight="1" spans="2:6" x14ac:dyDescent="0.25">
      <c r="B15" s="13" t="s">
        <v>24</v>
      </c>
      <c r="C15" s="14" t="s">
        <v>25</v>
      </c>
      <c r="D15" s="14"/>
      <c r="E15" s="14"/>
      <c r="F15" s="14"/>
    </row>
    <row r="16" ht="20" customHeight="1" spans="2:6" x14ac:dyDescent="0.25">
      <c r="B16" s="11" t="s">
        <v>26</v>
      </c>
      <c r="C16" s="12" t="s">
        <v>27</v>
      </c>
      <c r="D16" s="12"/>
      <c r="E16" s="12"/>
      <c r="F16" s="12"/>
    </row>
    <row r="17" ht="20" customHeight="1" spans="2:6" x14ac:dyDescent="0.25">
      <c r="B17" s="13" t="s">
        <v>28</v>
      </c>
      <c r="C17" s="14" t="s">
        <v>29</v>
      </c>
      <c r="D17" s="14"/>
      <c r="E17" s="14"/>
      <c r="F17" s="14"/>
    </row>
    <row r="18" ht="20" customHeight="1" spans="2:6" x14ac:dyDescent="0.25">
      <c r="B18" s="11" t="s">
        <v>30</v>
      </c>
      <c r="C18" s="12" t="s">
        <v>31</v>
      </c>
      <c r="D18" s="12"/>
      <c r="E18" s="12"/>
      <c r="F18" s="12"/>
    </row>
    <row r="19" ht="20" customHeight="1" spans="2:6" x14ac:dyDescent="0.25">
      <c r="B19" s="13" t="s">
        <v>32</v>
      </c>
      <c r="C19" s="14" t="s">
        <v>33</v>
      </c>
      <c r="D19" s="14"/>
      <c r="E19" s="14"/>
      <c r="F19" s="14"/>
    </row>
    <row r="20" ht="20" customHeight="1" spans="2:6" x14ac:dyDescent="0.25">
      <c r="B20" s="11" t="s">
        <v>34</v>
      </c>
      <c r="C20" s="12" t="s">
        <v>35</v>
      </c>
      <c r="D20" s="12"/>
      <c r="E20" s="12"/>
      <c r="F20" s="12"/>
    </row>
    <row r="21" ht="20" customHeight="1" spans="2:6" x14ac:dyDescent="0.25">
      <c r="B21" s="13" t="s">
        <v>36</v>
      </c>
      <c r="C21" s="14" t="s">
        <v>37</v>
      </c>
      <c r="D21" s="14"/>
      <c r="E21" s="14"/>
      <c r="F21" s="14"/>
    </row>
    <row r="24" spans="2:6" x14ac:dyDescent="0.25">
      <c r="B24" s="15" t="s">
        <v>38</v>
      </c>
      <c r="C24" s="15"/>
      <c r="D24" s="15"/>
      <c r="E24" s="15"/>
      <c r="F24" s="15"/>
    </row>
  </sheetData>
  <mergeCells count="18">
    <mergeCell ref="B1:H1"/>
    <mergeCell ref="B2:H2"/>
    <mergeCell ref="B3:H3"/>
    <mergeCell ref="D6:F6"/>
    <mergeCell ref="D7:F7"/>
    <mergeCell ref="D8:F8"/>
    <mergeCell ref="D9:F9"/>
    <mergeCell ref="D10:F10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B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D10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2" width="28" customWidth="1"/>
    <col min="3" max="3" width="22" customWidth="1"/>
    <col min="4" max="4" width="28" customWidth="1"/>
  </cols>
  <sheetData>
    <row r="1" ht="34" customHeight="1" spans="1:4" x14ac:dyDescent="0.25">
      <c r="A1" s="2" t="s">
        <v>36</v>
      </c>
      <c r="B1" s="2"/>
      <c r="C1" s="2"/>
      <c r="D1" s="2"/>
    </row>
    <row r="2" ht="22" customHeight="1" spans="1:4" x14ac:dyDescent="0.25">
      <c r="A2" s="4" t="s">
        <v>39</v>
      </c>
      <c r="B2" s="4"/>
      <c r="C2" s="4"/>
      <c r="D2" s="4"/>
    </row>
    <row r="3" ht="8" customHeight="1" spans="1:4" x14ac:dyDescent="0.25">
      <c r="A3" s="5"/>
      <c r="B3" s="5"/>
      <c r="C3" s="5"/>
      <c r="D3" s="5"/>
    </row>
    <row r="5" ht="24" customHeight="1" spans="2:4" x14ac:dyDescent="0.25">
      <c r="B5" s="10" t="s">
        <v>40</v>
      </c>
      <c r="C5" s="10" t="s">
        <v>41</v>
      </c>
      <c r="D5" s="10" t="s">
        <v>42</v>
      </c>
    </row>
    <row r="6" ht="20" customHeight="1" spans="2:4" x14ac:dyDescent="0.25">
      <c r="B6" s="16" t="s">
        <v>43</v>
      </c>
      <c r="C6" s="13" t="s">
        <v>44</v>
      </c>
      <c r="D6" s="17" t="s">
        <v>45</v>
      </c>
    </row>
    <row r="7" ht="20" customHeight="1" spans="2:4" x14ac:dyDescent="0.25">
      <c r="B7" s="18" t="s">
        <v>46</v>
      </c>
      <c r="C7" s="19">
        <v>46022.91666666667</v>
      </c>
      <c r="D7" s="20" t="s">
        <v>47</v>
      </c>
    </row>
    <row r="8" ht="20" customHeight="1" spans="2:4" x14ac:dyDescent="0.25">
      <c r="B8" s="16" t="s">
        <v>48</v>
      </c>
      <c r="C8" s="13">
        <v>2026</v>
      </c>
      <c r="D8" s="17" t="s">
        <v>49</v>
      </c>
    </row>
    <row r="9" ht="20" customHeight="1" spans="2:4" x14ac:dyDescent="0.25">
      <c r="B9" s="18" t="s">
        <v>50</v>
      </c>
      <c r="C9" s="21">
        <v>0</v>
      </c>
      <c r="D9" s="20" t="s">
        <v>51</v>
      </c>
    </row>
    <row r="10" ht="20" customHeight="1" spans="2:4" x14ac:dyDescent="0.25">
      <c r="B10" s="16" t="s">
        <v>52</v>
      </c>
      <c r="C10" s="13">
        <v>365</v>
      </c>
      <c r="D10" s="17" t="s">
        <v>53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G54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2" width="24" customWidth="1"/>
    <col min="3" max="3" width="10" customWidth="1"/>
    <col min="4" max="5" width="12" customWidth="1"/>
    <col min="6" max="6" width="10" customWidth="1"/>
    <col min="7" max="7" width="24" customWidth="1"/>
  </cols>
  <sheetData>
    <row r="1" ht="34" customHeight="1" spans="1:6" x14ac:dyDescent="0.25">
      <c r="A1" s="2" t="s">
        <v>28</v>
      </c>
      <c r="B1" s="2"/>
      <c r="C1" s="2"/>
      <c r="D1" s="2"/>
      <c r="E1" s="2"/>
      <c r="F1" s="2"/>
    </row>
    <row r="2" ht="22" customHeight="1" spans="1:6" x14ac:dyDescent="0.25">
      <c r="A2" s="4" t="s">
        <v>54</v>
      </c>
      <c r="B2" s="4"/>
      <c r="C2" s="4"/>
      <c r="D2" s="4"/>
      <c r="E2" s="4"/>
      <c r="F2" s="4"/>
    </row>
    <row r="3" ht="8" customHeight="1" spans="1:6" x14ac:dyDescent="0.25">
      <c r="A3" s="5"/>
      <c r="B3" s="5"/>
      <c r="C3" s="5"/>
      <c r="D3" s="5"/>
      <c r="E3" s="5"/>
      <c r="F3" s="5"/>
    </row>
    <row r="4" ht="24" customHeight="1" spans="2:7" x14ac:dyDescent="0.25">
      <c r="B4" s="10" t="s">
        <v>55</v>
      </c>
      <c r="C4" s="10" t="s">
        <v>56</v>
      </c>
      <c r="D4" s="10" t="s">
        <v>57</v>
      </c>
      <c r="E4" s="10" t="s">
        <v>58</v>
      </c>
      <c r="F4" s="10" t="s">
        <v>59</v>
      </c>
      <c r="G4" s="10" t="s">
        <v>60</v>
      </c>
    </row>
    <row r="5" ht="20" customHeight="1" spans="2:7" x14ac:dyDescent="0.25">
      <c r="B5" s="11" t="s">
        <v>61</v>
      </c>
      <c r="C5" s="11" t="s">
        <v>62</v>
      </c>
      <c r="D5" s="12" t="s">
        <v>44</v>
      </c>
      <c r="E5" s="12">
        <v>2</v>
      </c>
      <c r="F5" s="12" t="s">
        <v>63</v>
      </c>
      <c r="G5" s="12"/>
    </row>
    <row r="6" ht="20" customHeight="1" spans="2:7" x14ac:dyDescent="0.25">
      <c r="B6" s="13" t="s">
        <v>64</v>
      </c>
      <c r="C6" s="13" t="s">
        <v>65</v>
      </c>
      <c r="D6" s="14" t="s">
        <v>44</v>
      </c>
      <c r="E6" s="14">
        <v>1</v>
      </c>
      <c r="F6" s="14" t="s">
        <v>63</v>
      </c>
      <c r="G6" s="14"/>
    </row>
    <row r="7" ht="20" customHeight="1" spans="2:7" x14ac:dyDescent="0.25">
      <c r="B7" s="13"/>
      <c r="C7" s="13"/>
      <c r="D7" s="14"/>
      <c r="E7" s="14"/>
      <c r="F7" s="14"/>
      <c r="G7" s="14"/>
    </row>
    <row r="8" ht="20" customHeight="1" spans="2:7" x14ac:dyDescent="0.25">
      <c r="B8" s="11"/>
      <c r="C8" s="11"/>
      <c r="D8" s="12"/>
      <c r="E8" s="12"/>
      <c r="F8" s="12"/>
      <c r="G8" s="12"/>
    </row>
    <row r="9" ht="20" customHeight="1" spans="2:7" x14ac:dyDescent="0.25">
      <c r="B9" s="13"/>
      <c r="C9" s="13"/>
      <c r="D9" s="14"/>
      <c r="E9" s="14"/>
      <c r="F9" s="14"/>
      <c r="G9" s="14"/>
    </row>
    <row r="10" ht="20" customHeight="1" spans="2:7" x14ac:dyDescent="0.25">
      <c r="B10" s="11"/>
      <c r="C10" s="11"/>
      <c r="D10" s="12"/>
      <c r="E10" s="12"/>
      <c r="F10" s="12"/>
      <c r="G10" s="12"/>
    </row>
    <row r="11" ht="20" customHeight="1" spans="2:7" x14ac:dyDescent="0.25">
      <c r="B11" s="13"/>
      <c r="C11" s="13"/>
      <c r="D11" s="14"/>
      <c r="E11" s="14"/>
      <c r="F11" s="14"/>
      <c r="G11" s="14"/>
    </row>
    <row r="12" ht="20" customHeight="1" spans="2:7" x14ac:dyDescent="0.25">
      <c r="B12" s="11"/>
      <c r="C12" s="11"/>
      <c r="D12" s="12"/>
      <c r="E12" s="12"/>
      <c r="F12" s="12"/>
      <c r="G12" s="12"/>
    </row>
    <row r="13" ht="20" customHeight="1" spans="2:7" x14ac:dyDescent="0.25">
      <c r="B13" s="13"/>
      <c r="C13" s="13"/>
      <c r="D13" s="14"/>
      <c r="E13" s="14"/>
      <c r="F13" s="14"/>
      <c r="G13" s="14"/>
    </row>
    <row r="14" ht="20" customHeight="1" spans="2:7" x14ac:dyDescent="0.25">
      <c r="B14" s="11"/>
      <c r="C14" s="11"/>
      <c r="D14" s="12"/>
      <c r="E14" s="12"/>
      <c r="F14" s="12"/>
      <c r="G14" s="12"/>
    </row>
    <row r="15" ht="20" customHeight="1" spans="2:7" x14ac:dyDescent="0.25">
      <c r="B15" s="13"/>
      <c r="C15" s="13"/>
      <c r="D15" s="14"/>
      <c r="E15" s="14"/>
      <c r="F15" s="14"/>
      <c r="G15" s="14"/>
    </row>
    <row r="16" ht="20" customHeight="1" spans="2:7" x14ac:dyDescent="0.25">
      <c r="B16" s="11"/>
      <c r="C16" s="11"/>
      <c r="D16" s="12"/>
      <c r="E16" s="12"/>
      <c r="F16" s="12"/>
      <c r="G16" s="12"/>
    </row>
    <row r="17" ht="20" customHeight="1" spans="2:7" x14ac:dyDescent="0.25">
      <c r="B17" s="13"/>
      <c r="C17" s="13"/>
      <c r="D17" s="14"/>
      <c r="E17" s="14"/>
      <c r="F17" s="14"/>
      <c r="G17" s="14"/>
    </row>
    <row r="18" ht="20" customHeight="1" spans="2:7" x14ac:dyDescent="0.25">
      <c r="B18" s="11"/>
      <c r="C18" s="11"/>
      <c r="D18" s="12"/>
      <c r="E18" s="12"/>
      <c r="F18" s="12"/>
      <c r="G18" s="12"/>
    </row>
    <row r="19" ht="20" customHeight="1" spans="2:7" x14ac:dyDescent="0.25">
      <c r="B19" s="13"/>
      <c r="C19" s="13"/>
      <c r="D19" s="14"/>
      <c r="E19" s="14"/>
      <c r="F19" s="14"/>
      <c r="G19" s="14"/>
    </row>
    <row r="20" ht="20" customHeight="1" spans="2:7" x14ac:dyDescent="0.25">
      <c r="B20" s="11"/>
      <c r="C20" s="11"/>
      <c r="D20" s="12"/>
      <c r="E20" s="12"/>
      <c r="F20" s="12"/>
      <c r="G20" s="12"/>
    </row>
    <row r="21" ht="20" customHeight="1" spans="2:7" x14ac:dyDescent="0.25">
      <c r="B21" s="13"/>
      <c r="C21" s="13"/>
      <c r="D21" s="14"/>
      <c r="E21" s="14"/>
      <c r="F21" s="14"/>
      <c r="G21" s="14"/>
    </row>
    <row r="22" ht="20" customHeight="1" spans="2:7" x14ac:dyDescent="0.25">
      <c r="B22" s="11"/>
      <c r="C22" s="11"/>
      <c r="D22" s="12"/>
      <c r="E22" s="12"/>
      <c r="F22" s="12"/>
      <c r="G22" s="12"/>
    </row>
    <row r="23" ht="20" customHeight="1" spans="2:7" x14ac:dyDescent="0.25">
      <c r="B23" s="13"/>
      <c r="C23" s="13"/>
      <c r="D23" s="14"/>
      <c r="E23" s="14"/>
      <c r="F23" s="14"/>
      <c r="G23" s="14"/>
    </row>
    <row r="24" ht="20" customHeight="1" spans="2:7" x14ac:dyDescent="0.25">
      <c r="B24" s="11"/>
      <c r="C24" s="11"/>
      <c r="D24" s="12"/>
      <c r="E24" s="12"/>
      <c r="F24" s="12"/>
      <c r="G24" s="12"/>
    </row>
    <row r="25" ht="20" customHeight="1" spans="2:7" x14ac:dyDescent="0.25">
      <c r="B25" s="13"/>
      <c r="C25" s="13"/>
      <c r="D25" s="14"/>
      <c r="E25" s="14"/>
      <c r="F25" s="14"/>
      <c r="G25" s="14"/>
    </row>
    <row r="26" ht="20" customHeight="1" spans="2:7" x14ac:dyDescent="0.25">
      <c r="B26" s="11"/>
      <c r="C26" s="11"/>
      <c r="D26" s="12"/>
      <c r="E26" s="12"/>
      <c r="F26" s="12"/>
      <c r="G26" s="12"/>
    </row>
    <row r="27" ht="20" customHeight="1" spans="2:7" x14ac:dyDescent="0.25">
      <c r="B27" s="13"/>
      <c r="C27" s="13"/>
      <c r="D27" s="14"/>
      <c r="E27" s="14"/>
      <c r="F27" s="14"/>
      <c r="G27" s="14"/>
    </row>
    <row r="28" ht="20" customHeight="1" spans="2:7" x14ac:dyDescent="0.25">
      <c r="B28" s="11"/>
      <c r="C28" s="11"/>
      <c r="D28" s="12"/>
      <c r="E28" s="12"/>
      <c r="F28" s="12"/>
      <c r="G28" s="12"/>
    </row>
    <row r="29" ht="20" customHeight="1" spans="2:7" x14ac:dyDescent="0.25">
      <c r="B29" s="13"/>
      <c r="C29" s="13"/>
      <c r="D29" s="14"/>
      <c r="E29" s="14"/>
      <c r="F29" s="14"/>
      <c r="G29" s="14"/>
    </row>
    <row r="30" ht="20" customHeight="1" spans="2:7" x14ac:dyDescent="0.25">
      <c r="B30" s="11"/>
      <c r="C30" s="11"/>
      <c r="D30" s="12"/>
      <c r="E30" s="12"/>
      <c r="F30" s="12"/>
      <c r="G30" s="12"/>
    </row>
    <row r="31" ht="20" customHeight="1" spans="2:7" x14ac:dyDescent="0.25">
      <c r="B31" s="13"/>
      <c r="C31" s="13"/>
      <c r="D31" s="14"/>
      <c r="E31" s="14"/>
      <c r="F31" s="14"/>
      <c r="G31" s="14"/>
    </row>
    <row r="32" ht="20" customHeight="1" spans="2:7" x14ac:dyDescent="0.25">
      <c r="B32" s="11"/>
      <c r="C32" s="11"/>
      <c r="D32" s="12"/>
      <c r="E32" s="12"/>
      <c r="F32" s="12"/>
      <c r="G32" s="12"/>
    </row>
    <row r="33" ht="20" customHeight="1" spans="2:7" x14ac:dyDescent="0.25">
      <c r="B33" s="13"/>
      <c r="C33" s="13"/>
      <c r="D33" s="14"/>
      <c r="E33" s="14"/>
      <c r="F33" s="14"/>
      <c r="G33" s="14"/>
    </row>
    <row r="34" ht="20" customHeight="1" spans="2:7" x14ac:dyDescent="0.25">
      <c r="B34" s="11"/>
      <c r="C34" s="11"/>
      <c r="D34" s="12"/>
      <c r="E34" s="12"/>
      <c r="F34" s="12"/>
      <c r="G34" s="12"/>
    </row>
    <row r="35" ht="20" customHeight="1" spans="2:7" x14ac:dyDescent="0.25">
      <c r="B35" s="13"/>
      <c r="C35" s="13"/>
      <c r="D35" s="14"/>
      <c r="E35" s="14"/>
      <c r="F35" s="14"/>
      <c r="G35" s="14"/>
    </row>
    <row r="36" ht="20" customHeight="1" spans="2:7" x14ac:dyDescent="0.25">
      <c r="B36" s="11"/>
      <c r="C36" s="11"/>
      <c r="D36" s="12"/>
      <c r="E36" s="12"/>
      <c r="F36" s="12"/>
      <c r="G36" s="12"/>
    </row>
    <row r="37" ht="20" customHeight="1" spans="2:7" x14ac:dyDescent="0.25">
      <c r="B37" s="13"/>
      <c r="C37" s="13"/>
      <c r="D37" s="14"/>
      <c r="E37" s="14"/>
      <c r="F37" s="14"/>
      <c r="G37" s="14"/>
    </row>
    <row r="38" ht="20" customHeight="1" spans="2:7" x14ac:dyDescent="0.25">
      <c r="B38" s="11"/>
      <c r="C38" s="11"/>
      <c r="D38" s="12"/>
      <c r="E38" s="12"/>
      <c r="F38" s="12"/>
      <c r="G38" s="12"/>
    </row>
    <row r="39" ht="20" customHeight="1" spans="2:7" x14ac:dyDescent="0.25">
      <c r="B39" s="13"/>
      <c r="C39" s="13"/>
      <c r="D39" s="14"/>
      <c r="E39" s="14"/>
      <c r="F39" s="14"/>
      <c r="G39" s="14"/>
    </row>
    <row r="40" ht="20" customHeight="1" spans="2:7" x14ac:dyDescent="0.25">
      <c r="B40" s="11"/>
      <c r="C40" s="11"/>
      <c r="D40" s="12"/>
      <c r="E40" s="12"/>
      <c r="F40" s="12"/>
      <c r="G40" s="12"/>
    </row>
    <row r="41" ht="20" customHeight="1" spans="2:7" x14ac:dyDescent="0.25">
      <c r="B41" s="13"/>
      <c r="C41" s="13"/>
      <c r="D41" s="14"/>
      <c r="E41" s="14"/>
      <c r="F41" s="14"/>
      <c r="G41" s="14"/>
    </row>
    <row r="42" ht="20" customHeight="1" spans="2:7" x14ac:dyDescent="0.25">
      <c r="B42" s="11"/>
      <c r="C42" s="11"/>
      <c r="D42" s="12"/>
      <c r="E42" s="12"/>
      <c r="F42" s="12"/>
      <c r="G42" s="12"/>
    </row>
    <row r="43" ht="20" customHeight="1" spans="2:7" x14ac:dyDescent="0.25">
      <c r="B43" s="13"/>
      <c r="C43" s="13"/>
      <c r="D43" s="14"/>
      <c r="E43" s="14"/>
      <c r="F43" s="14"/>
      <c r="G43" s="14"/>
    </row>
    <row r="44" ht="20" customHeight="1" spans="2:7" x14ac:dyDescent="0.25">
      <c r="B44" s="11"/>
      <c r="C44" s="11"/>
      <c r="D44" s="12"/>
      <c r="E44" s="12"/>
      <c r="F44" s="12"/>
      <c r="G44" s="12"/>
    </row>
    <row r="45" ht="20" customHeight="1" spans="2:7" x14ac:dyDescent="0.25">
      <c r="B45" s="13"/>
      <c r="C45" s="13"/>
      <c r="D45" s="14"/>
      <c r="E45" s="14"/>
      <c r="F45" s="14"/>
      <c r="G45" s="14"/>
    </row>
    <row r="46" ht="20" customHeight="1" spans="2:7" x14ac:dyDescent="0.25">
      <c r="B46" s="11"/>
      <c r="C46" s="11"/>
      <c r="D46" s="12"/>
      <c r="E46" s="12"/>
      <c r="F46" s="12"/>
      <c r="G46" s="12"/>
    </row>
    <row r="47" ht="20" customHeight="1" spans="2:7" x14ac:dyDescent="0.25">
      <c r="B47" s="13"/>
      <c r="C47" s="13"/>
      <c r="D47" s="14"/>
      <c r="E47" s="14"/>
      <c r="F47" s="14"/>
      <c r="G47" s="14"/>
    </row>
    <row r="48" ht="20" customHeight="1" spans="2:7" x14ac:dyDescent="0.25">
      <c r="B48" s="11"/>
      <c r="C48" s="11"/>
      <c r="D48" s="12"/>
      <c r="E48" s="12"/>
      <c r="F48" s="12"/>
      <c r="G48" s="12"/>
    </row>
    <row r="49" ht="20" customHeight="1" spans="2:7" x14ac:dyDescent="0.25">
      <c r="B49" s="13"/>
      <c r="C49" s="13"/>
      <c r="D49" s="14"/>
      <c r="E49" s="14"/>
      <c r="F49" s="14"/>
      <c r="G49" s="14"/>
    </row>
    <row r="50" ht="20" customHeight="1" spans="2:7" x14ac:dyDescent="0.25">
      <c r="B50" s="11"/>
      <c r="C50" s="11"/>
      <c r="D50" s="12"/>
      <c r="E50" s="12"/>
      <c r="F50" s="12"/>
      <c r="G50" s="12"/>
    </row>
    <row r="51" ht="20" customHeight="1" spans="2:7" x14ac:dyDescent="0.25">
      <c r="B51" s="13"/>
      <c r="C51" s="13"/>
      <c r="D51" s="14"/>
      <c r="E51" s="14"/>
      <c r="F51" s="14"/>
      <c r="G51" s="14"/>
    </row>
    <row r="52" ht="20" customHeight="1" spans="2:7" x14ac:dyDescent="0.25">
      <c r="B52" s="11"/>
      <c r="C52" s="11"/>
      <c r="D52" s="12"/>
      <c r="E52" s="12"/>
      <c r="F52" s="12"/>
      <c r="G52" s="12"/>
    </row>
    <row r="53" ht="20" customHeight="1" spans="2:7" x14ac:dyDescent="0.25">
      <c r="B53" s="13"/>
      <c r="C53" s="13"/>
      <c r="D53" s="14"/>
      <c r="E53" s="14"/>
      <c r="F53" s="14"/>
      <c r="G53" s="14"/>
    </row>
    <row r="54" ht="20" customHeight="1" spans="2:7" x14ac:dyDescent="0.25">
      <c r="B54" s="11"/>
      <c r="C54" s="11"/>
      <c r="D54" s="12"/>
      <c r="E54" s="12"/>
      <c r="F54" s="12"/>
      <c r="G54" s="12"/>
    </row>
  </sheetData>
  <mergeCells count="3">
    <mergeCell ref="A1:F1"/>
    <mergeCell ref="A2:F2"/>
    <mergeCell ref="A3:F3"/>
  </mergeCells>
  <dataValidations count="2">
    <dataValidation type="list" allowBlank="1" sqref="D5:D54">
      <formula1>"USD,EUR,GBP,CAD,AUD"</formula1>
    </dataValidation>
    <dataValidation type="list" allowBlank="1" sqref="F5:F5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E30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2" width="26" customWidth="1"/>
    <col min="3" max="3" width="14" customWidth="1"/>
    <col min="4" max="4" width="16" customWidth="1"/>
    <col min="5" max="5" width="24" customWidth="1"/>
  </cols>
  <sheetData>
    <row r="1" ht="34" customHeight="1" spans="1:5" x14ac:dyDescent="0.25">
      <c r="A1" s="2" t="s">
        <v>30</v>
      </c>
      <c r="B1" s="2"/>
      <c r="C1" s="2"/>
      <c r="D1" s="2"/>
      <c r="E1" s="2"/>
    </row>
    <row r="2" ht="22" customHeight="1" spans="1:5" x14ac:dyDescent="0.25">
      <c r="A2" s="4" t="s">
        <v>66</v>
      </c>
      <c r="B2" s="4"/>
      <c r="C2" s="4"/>
      <c r="D2" s="4"/>
      <c r="E2" s="4"/>
    </row>
    <row r="3" ht="8" customHeight="1" spans="1:5" x14ac:dyDescent="0.25">
      <c r="A3" s="5"/>
      <c r="B3" s="5"/>
      <c r="C3" s="5"/>
      <c r="D3" s="5"/>
      <c r="E3" s="5"/>
    </row>
    <row r="4" ht="24" customHeight="1" spans="2:5" x14ac:dyDescent="0.25">
      <c r="B4" s="10" t="s">
        <v>67</v>
      </c>
      <c r="C4" s="10" t="s">
        <v>68</v>
      </c>
      <c r="D4" s="10" t="s">
        <v>69</v>
      </c>
      <c r="E4" s="10" t="s">
        <v>60</v>
      </c>
    </row>
    <row r="5" ht="20" customHeight="1" spans="2:5" x14ac:dyDescent="0.25">
      <c r="B5" s="11" t="s">
        <v>70</v>
      </c>
      <c r="C5" s="11" t="s">
        <v>71</v>
      </c>
      <c r="D5" s="22">
        <v>0</v>
      </c>
      <c r="E5" s="12"/>
    </row>
    <row r="6" ht="20" customHeight="1" spans="2:5" x14ac:dyDescent="0.25">
      <c r="B6" s="13" t="s">
        <v>72</v>
      </c>
      <c r="C6" s="13" t="s">
        <v>71</v>
      </c>
      <c r="D6" s="23">
        <v>0</v>
      </c>
      <c r="E6" s="14"/>
    </row>
    <row r="7" ht="20" customHeight="1" spans="2:5" x14ac:dyDescent="0.25">
      <c r="B7" s="11" t="s">
        <v>73</v>
      </c>
      <c r="C7" s="11" t="s">
        <v>74</v>
      </c>
      <c r="D7" s="22">
        <v>0</v>
      </c>
      <c r="E7" s="12"/>
    </row>
    <row r="8" ht="20" customHeight="1" spans="2:5" x14ac:dyDescent="0.25">
      <c r="B8" s="13" t="s">
        <v>75</v>
      </c>
      <c r="C8" s="13" t="s">
        <v>74</v>
      </c>
      <c r="D8" s="23">
        <v>0</v>
      </c>
      <c r="E8" s="14"/>
    </row>
    <row r="9" ht="20" customHeight="1" spans="2:5" x14ac:dyDescent="0.25">
      <c r="B9" s="11" t="s">
        <v>76</v>
      </c>
      <c r="C9" s="11" t="s">
        <v>74</v>
      </c>
      <c r="D9" s="22">
        <v>0</v>
      </c>
      <c r="E9" s="12"/>
    </row>
    <row r="10" ht="20" customHeight="1" spans="2:5" x14ac:dyDescent="0.25">
      <c r="B10" s="13" t="s">
        <v>77</v>
      </c>
      <c r="C10" s="13" t="s">
        <v>71</v>
      </c>
      <c r="D10" s="23">
        <v>0</v>
      </c>
      <c r="E10" s="14"/>
    </row>
    <row r="11" ht="20" customHeight="1" spans="2:5" x14ac:dyDescent="0.25">
      <c r="B11" s="11" t="s">
        <v>78</v>
      </c>
      <c r="C11" s="11" t="s">
        <v>71</v>
      </c>
      <c r="D11" s="22">
        <v>0</v>
      </c>
      <c r="E11" s="12"/>
    </row>
    <row r="12" ht="20" customHeight="1" spans="2:5" x14ac:dyDescent="0.25">
      <c r="B12" s="13" t="s">
        <v>79</v>
      </c>
      <c r="C12" s="13" t="s">
        <v>71</v>
      </c>
      <c r="D12" s="23">
        <v>0</v>
      </c>
      <c r="E12" s="14"/>
    </row>
    <row r="13" ht="20" customHeight="1" spans="2:5" x14ac:dyDescent="0.25">
      <c r="B13" s="11" t="s">
        <v>80</v>
      </c>
      <c r="C13" s="11" t="s">
        <v>74</v>
      </c>
      <c r="D13" s="22">
        <v>0</v>
      </c>
      <c r="E13" s="12"/>
    </row>
    <row r="14" ht="20" customHeight="1" spans="2:5" x14ac:dyDescent="0.25">
      <c r="B14" s="13" t="s">
        <v>81</v>
      </c>
      <c r="C14" s="13" t="s">
        <v>74</v>
      </c>
      <c r="D14" s="23">
        <v>0</v>
      </c>
      <c r="E14" s="14"/>
    </row>
    <row r="15" ht="20" customHeight="1" spans="2:5" x14ac:dyDescent="0.25">
      <c r="B15" s="11" t="s">
        <v>82</v>
      </c>
      <c r="C15" s="11" t="s">
        <v>71</v>
      </c>
      <c r="D15" s="22">
        <v>0</v>
      </c>
      <c r="E15" s="12"/>
    </row>
    <row r="16" ht="20" customHeight="1" spans="2:5" x14ac:dyDescent="0.25">
      <c r="B16" s="13" t="s">
        <v>83</v>
      </c>
      <c r="C16" s="13" t="s">
        <v>71</v>
      </c>
      <c r="D16" s="23">
        <v>0</v>
      </c>
      <c r="E16" s="14"/>
    </row>
    <row r="17" ht="20" customHeight="1" spans="2:5" x14ac:dyDescent="0.25">
      <c r="B17" s="11" t="s">
        <v>84</v>
      </c>
      <c r="C17" s="11" t="s">
        <v>71</v>
      </c>
      <c r="D17" s="22">
        <v>0</v>
      </c>
      <c r="E17" s="12"/>
    </row>
    <row r="18" ht="20" customHeight="1" spans="2:5" x14ac:dyDescent="0.25">
      <c r="B18" s="13" t="s">
        <v>85</v>
      </c>
      <c r="C18" s="13" t="s">
        <v>71</v>
      </c>
      <c r="D18" s="23">
        <v>0</v>
      </c>
      <c r="E18" s="14"/>
    </row>
    <row r="19" ht="20" customHeight="1" spans="2:5" x14ac:dyDescent="0.25">
      <c r="B19" s="11" t="s">
        <v>86</v>
      </c>
      <c r="C19" s="11" t="s">
        <v>71</v>
      </c>
      <c r="D19" s="22">
        <v>0</v>
      </c>
      <c r="E19" s="12"/>
    </row>
    <row r="20" ht="20" customHeight="1" spans="2:5" x14ac:dyDescent="0.25">
      <c r="B20" s="13" t="s">
        <v>87</v>
      </c>
      <c r="C20" s="13" t="s">
        <v>71</v>
      </c>
      <c r="D20" s="23">
        <v>0</v>
      </c>
      <c r="E20" s="14"/>
    </row>
    <row r="21" ht="20" customHeight="1" spans="2:5" x14ac:dyDescent="0.25">
      <c r="B21" s="13"/>
      <c r="C21" s="13"/>
      <c r="D21" s="14"/>
      <c r="E21" s="14"/>
    </row>
    <row r="22" ht="20" customHeight="1" spans="2:5" x14ac:dyDescent="0.25">
      <c r="B22" s="11"/>
      <c r="C22" s="11"/>
      <c r="D22" s="12"/>
      <c r="E22" s="12"/>
    </row>
    <row r="23" ht="20" customHeight="1" spans="2:5" x14ac:dyDescent="0.25">
      <c r="B23" s="13"/>
      <c r="C23" s="13"/>
      <c r="D23" s="14"/>
      <c r="E23" s="14"/>
    </row>
    <row r="24" ht="20" customHeight="1" spans="2:5" x14ac:dyDescent="0.25">
      <c r="B24" s="11"/>
      <c r="C24" s="11"/>
      <c r="D24" s="12"/>
      <c r="E24" s="12"/>
    </row>
    <row r="25" ht="20" customHeight="1" spans="2:5" x14ac:dyDescent="0.25">
      <c r="B25" s="13"/>
      <c r="C25" s="13"/>
      <c r="D25" s="14"/>
      <c r="E25" s="14"/>
    </row>
    <row r="26" ht="20" customHeight="1" spans="2:5" x14ac:dyDescent="0.25">
      <c r="B26" s="11"/>
      <c r="C26" s="11"/>
      <c r="D26" s="12"/>
      <c r="E26" s="12"/>
    </row>
    <row r="27" ht="20" customHeight="1" spans="2:5" x14ac:dyDescent="0.25">
      <c r="B27" s="13"/>
      <c r="C27" s="13"/>
      <c r="D27" s="14"/>
      <c r="E27" s="14"/>
    </row>
    <row r="28" ht="20" customHeight="1" spans="2:5" x14ac:dyDescent="0.25">
      <c r="B28" s="11"/>
      <c r="C28" s="11"/>
      <c r="D28" s="12"/>
      <c r="E28" s="12"/>
    </row>
    <row r="29" ht="20" customHeight="1" spans="2:5" x14ac:dyDescent="0.25">
      <c r="B29" s="13"/>
      <c r="C29" s="13"/>
      <c r="D29" s="14"/>
      <c r="E29" s="14"/>
    </row>
    <row r="30" ht="20" customHeight="1" spans="2:5" x14ac:dyDescent="0.25">
      <c r="B30" s="11"/>
      <c r="C30" s="11"/>
      <c r="D30" s="12"/>
      <c r="E30" s="12"/>
    </row>
  </sheetData>
  <mergeCells count="3">
    <mergeCell ref="A1:E1"/>
    <mergeCell ref="A2:E2"/>
    <mergeCell ref="A3:E3"/>
  </mergeCells>
  <dataValidations count="1">
    <dataValidation type="list" allowBlank="1" sqref="C5:C30">
      <formula1>"Fixed,Variable"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M504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8" customWidth="1"/>
    <col min="4" max="4" width="14" customWidth="1"/>
    <col min="5" max="6" width="12" customWidth="1"/>
    <col min="7" max="7" width="8" customWidth="1"/>
    <col min="8" max="10" width="14" customWidth="1"/>
    <col min="11" max="11" width="12" customWidth="1"/>
    <col min="12" max="12" width="14" customWidth="1"/>
    <col min="13" max="13" width="28" customWidth="1"/>
  </cols>
  <sheetData>
    <row r="1" ht="34" customHeight="1" spans="1:12" x14ac:dyDescent="0.25">
      <c r="A1" s="1"/>
      <c r="B1" s="2" t="s">
        <v>88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 spans="1:12" x14ac:dyDescent="0.25">
      <c r="A2" s="3"/>
      <c r="B2" s="4" t="s">
        <v>89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8" customHeight="1" spans="1:1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24" customHeight="1" spans="2:13" x14ac:dyDescent="0.25">
      <c r="B4" s="10" t="s">
        <v>90</v>
      </c>
      <c r="C4" s="10" t="s">
        <v>91</v>
      </c>
      <c r="D4" s="10" t="s">
        <v>92</v>
      </c>
      <c r="E4" s="10" t="s">
        <v>93</v>
      </c>
      <c r="F4" s="10" t="s">
        <v>94</v>
      </c>
      <c r="G4" s="10" t="s">
        <v>95</v>
      </c>
      <c r="H4" s="10" t="s">
        <v>96</v>
      </c>
      <c r="I4" s="10" t="s">
        <v>97</v>
      </c>
      <c r="J4" s="10" t="s">
        <v>98</v>
      </c>
      <c r="K4" s="10" t="s">
        <v>99</v>
      </c>
      <c r="L4" s="10" t="s">
        <v>100</v>
      </c>
      <c r="M4" s="10" t="s">
        <v>60</v>
      </c>
    </row>
    <row r="5" ht="20" customHeight="1" spans="2:13" x14ac:dyDescent="0.25">
      <c r="B5" s="24">
        <v>46027</v>
      </c>
      <c r="C5" s="13" t="s">
        <v>61</v>
      </c>
      <c r="D5" s="14" t="s">
        <v>101</v>
      </c>
      <c r="E5" s="25">
        <v>46032</v>
      </c>
      <c r="F5" s="25">
        <v>46035</v>
      </c>
      <c r="G5" s="26">
        <f>IF(AND(E5&lt;&gt;"",F5&lt;&gt;""),MAX(1,F5-E5),"")</f>
      </c>
      <c r="H5" s="23">
        <v>450</v>
      </c>
      <c r="I5" s="23">
        <v>75</v>
      </c>
      <c r="J5" s="23">
        <v>67.5</v>
      </c>
      <c r="K5" s="23">
        <v>0</v>
      </c>
      <c r="L5" s="27">
        <f>IF(H5="","",H5+I5-J5-K5)</f>
      </c>
      <c r="M5" s="14"/>
    </row>
    <row r="6" ht="20" customHeight="1" spans="2:13" x14ac:dyDescent="0.25">
      <c r="B6" s="19">
        <v>46034</v>
      </c>
      <c r="C6" s="11" t="s">
        <v>61</v>
      </c>
      <c r="D6" s="12" t="s">
        <v>102</v>
      </c>
      <c r="E6" s="28">
        <v>46040</v>
      </c>
      <c r="F6" s="28">
        <v>46043</v>
      </c>
      <c r="G6" s="29">
        <f>IF(AND(E6&lt;&gt;"",F6&lt;&gt;""),MAX(1,F6-E6),"")</f>
      </c>
      <c r="H6" s="22">
        <v>420</v>
      </c>
      <c r="I6" s="22">
        <v>75</v>
      </c>
      <c r="J6" s="22">
        <v>50</v>
      </c>
      <c r="K6" s="22">
        <v>0</v>
      </c>
      <c r="L6" s="30">
        <f>IF(H6="","",H6+I6-J6-K6)</f>
      </c>
      <c r="M6" s="12"/>
    </row>
    <row r="7" ht="20" customHeight="1" spans="2:13" x14ac:dyDescent="0.25">
      <c r="B7" s="24">
        <v>46042</v>
      </c>
      <c r="C7" s="13" t="s">
        <v>64</v>
      </c>
      <c r="D7" s="14" t="s">
        <v>103</v>
      </c>
      <c r="E7" s="25">
        <v>46047</v>
      </c>
      <c r="F7" s="25">
        <v>46050</v>
      </c>
      <c r="G7" s="26">
        <f>IF(AND(E7&lt;&gt;"",F7&lt;&gt;""),MAX(1,F7-E7),"")</f>
      </c>
      <c r="H7" s="23">
        <v>380</v>
      </c>
      <c r="I7" s="23">
        <v>60</v>
      </c>
      <c r="J7" s="23">
        <v>0</v>
      </c>
      <c r="K7" s="23">
        <v>0</v>
      </c>
      <c r="L7" s="27">
        <f>IF(H7="","",H7+I7-J7-K7)</f>
      </c>
      <c r="M7" s="14"/>
    </row>
    <row r="8" ht="20" customHeight="1" spans="2:13" x14ac:dyDescent="0.25">
      <c r="B8" s="19">
        <v>46055</v>
      </c>
      <c r="C8" s="11" t="s">
        <v>61</v>
      </c>
      <c r="D8" s="12" t="s">
        <v>101</v>
      </c>
      <c r="E8" s="28">
        <v>46061</v>
      </c>
      <c r="F8" s="28">
        <v>46065</v>
      </c>
      <c r="G8" s="29">
        <f>IF(AND(E8&lt;&gt;"",F8&lt;&gt;""),MAX(1,F8-E8),"")</f>
      </c>
      <c r="H8" s="22">
        <v>620</v>
      </c>
      <c r="I8" s="22">
        <v>75</v>
      </c>
      <c r="J8" s="22">
        <v>93</v>
      </c>
      <c r="K8" s="22">
        <v>0</v>
      </c>
      <c r="L8" s="30">
        <f>IF(H8="","",H8+I8-J8-K8)</f>
      </c>
      <c r="M8" s="12"/>
    </row>
    <row r="9" ht="20" customHeight="1" spans="2:13" x14ac:dyDescent="0.25">
      <c r="B9" s="24">
        <v>46067</v>
      </c>
      <c r="C9" s="13" t="s">
        <v>64</v>
      </c>
      <c r="D9" s="14" t="s">
        <v>104</v>
      </c>
      <c r="E9" s="25">
        <v>46071</v>
      </c>
      <c r="F9" s="25">
        <v>46074</v>
      </c>
      <c r="G9" s="26">
        <f>IF(AND(E9&lt;&gt;"",F9&lt;&gt;""),MAX(1,F9-E9),"")</f>
      </c>
      <c r="H9" s="23">
        <v>410</v>
      </c>
      <c r="I9" s="23">
        <v>55</v>
      </c>
      <c r="J9" s="23">
        <v>45</v>
      </c>
      <c r="K9" s="23">
        <v>0</v>
      </c>
      <c r="L9" s="27">
        <f>IF(H9="","",H9+I9-J9-K9)</f>
      </c>
      <c r="M9" s="14"/>
    </row>
    <row r="10" ht="20" customHeight="1" spans="2:13" x14ac:dyDescent="0.25">
      <c r="B10" s="19">
        <v>46075</v>
      </c>
      <c r="C10" s="11" t="s">
        <v>61</v>
      </c>
      <c r="D10" s="12" t="s">
        <v>103</v>
      </c>
      <c r="E10" s="28">
        <v>46078</v>
      </c>
      <c r="F10" s="28">
        <v>46082</v>
      </c>
      <c r="G10" s="29">
        <f>IF(AND(E10&lt;&gt;"",F10&lt;&gt;""),MAX(1,F10-E10),"")</f>
      </c>
      <c r="H10" s="22">
        <v>890</v>
      </c>
      <c r="I10" s="22">
        <v>80</v>
      </c>
      <c r="J10" s="22">
        <v>0</v>
      </c>
      <c r="K10" s="22">
        <v>0</v>
      </c>
      <c r="L10" s="30">
        <f>IF(H10="","",H10+I10-J10-K10)</f>
      </c>
      <c r="M10" s="12"/>
    </row>
    <row r="11" ht="20" customHeight="1" spans="2:13" x14ac:dyDescent="0.25">
      <c r="B11" s="24">
        <v>46086</v>
      </c>
      <c r="C11" s="13" t="s">
        <v>61</v>
      </c>
      <c r="D11" s="14" t="s">
        <v>101</v>
      </c>
      <c r="E11" s="25">
        <v>46091</v>
      </c>
      <c r="F11" s="25">
        <v>46095</v>
      </c>
      <c r="G11" s="26">
        <f>IF(AND(E11&lt;&gt;"",F11&lt;&gt;""),MAX(1,F11-E11),"")</f>
      </c>
      <c r="H11" s="23">
        <v>710</v>
      </c>
      <c r="I11" s="23">
        <v>75</v>
      </c>
      <c r="J11" s="23">
        <v>106.5</v>
      </c>
      <c r="K11" s="23">
        <v>0</v>
      </c>
      <c r="L11" s="27">
        <f>IF(H11="","",H11+I11-J11-K11)</f>
      </c>
      <c r="M11" s="14"/>
    </row>
    <row r="12" ht="20" customHeight="1" spans="2:13" x14ac:dyDescent="0.25">
      <c r="B12" s="19">
        <v>46093</v>
      </c>
      <c r="C12" s="11" t="s">
        <v>64</v>
      </c>
      <c r="D12" s="12" t="s">
        <v>102</v>
      </c>
      <c r="E12" s="28">
        <v>46096</v>
      </c>
      <c r="F12" s="28">
        <v>46099</v>
      </c>
      <c r="G12" s="29">
        <f>IF(AND(E12&lt;&gt;"",F12&lt;&gt;""),MAX(1,F12-E12),"")</f>
      </c>
      <c r="H12" s="22">
        <v>395</v>
      </c>
      <c r="I12" s="22">
        <v>60</v>
      </c>
      <c r="J12" s="22">
        <v>47</v>
      </c>
      <c r="K12" s="22">
        <v>0</v>
      </c>
      <c r="L12" s="30">
        <f>IF(H12="","",H12+I12-J12-K12)</f>
      </c>
      <c r="M12" s="12"/>
    </row>
    <row r="13" ht="20" customHeight="1" spans="2:13" x14ac:dyDescent="0.25">
      <c r="B13" s="24">
        <v>46101</v>
      </c>
      <c r="C13" s="13" t="s">
        <v>61</v>
      </c>
      <c r="D13" s="14" t="s">
        <v>101</v>
      </c>
      <c r="E13" s="25">
        <v>46103</v>
      </c>
      <c r="F13" s="25">
        <v>46106</v>
      </c>
      <c r="G13" s="26">
        <f>IF(AND(E13&lt;&gt;"",F13&lt;&gt;""),MAX(1,F13-E13),"")</f>
      </c>
      <c r="H13" s="23">
        <v>480</v>
      </c>
      <c r="I13" s="23">
        <v>75</v>
      </c>
      <c r="J13" s="23">
        <v>72</v>
      </c>
      <c r="K13" s="23">
        <v>0</v>
      </c>
      <c r="L13" s="27">
        <f>IF(H13="","",H13+I13-J13-K13)</f>
      </c>
      <c r="M13" s="14"/>
    </row>
    <row r="14" ht="20" customHeight="1" spans="2:13" x14ac:dyDescent="0.25">
      <c r="B14" s="19">
        <v>46109</v>
      </c>
      <c r="C14" s="11" t="s">
        <v>64</v>
      </c>
      <c r="D14" s="12" t="s">
        <v>103</v>
      </c>
      <c r="E14" s="28">
        <v>46114</v>
      </c>
      <c r="F14" s="28">
        <v>46117</v>
      </c>
      <c r="G14" s="29">
        <f>IF(AND(E14&lt;&gt;"",F14&lt;&gt;""),MAX(1,F14-E14),"")</f>
      </c>
      <c r="H14" s="22">
        <v>520</v>
      </c>
      <c r="I14" s="22">
        <v>60</v>
      </c>
      <c r="J14" s="22">
        <v>0</v>
      </c>
      <c r="K14" s="22">
        <v>0</v>
      </c>
      <c r="L14" s="30">
        <f>IF(H14="","",H14+I14-J14-K14)</f>
      </c>
      <c r="M14" s="12"/>
    </row>
    <row r="15" ht="20" customHeight="1" spans="2:13" x14ac:dyDescent="0.25">
      <c r="B15" s="13"/>
      <c r="C15" s="13"/>
      <c r="D15" s="14"/>
      <c r="E15" s="14"/>
      <c r="F15" s="14"/>
      <c r="G15" s="26">
        <f>IF(AND(E15&lt;&gt;"",F15&lt;&gt;""),MAX(1,F15-E15),"")</f>
      </c>
      <c r="H15" s="14"/>
      <c r="I15" s="14"/>
      <c r="J15" s="14"/>
      <c r="K15" s="14"/>
      <c r="L15" s="27">
        <f>IF(H15="","",H15+I15-J15-K15)</f>
      </c>
      <c r="M15" s="14"/>
    </row>
    <row r="16" ht="20" customHeight="1" spans="2:13" x14ac:dyDescent="0.25">
      <c r="B16" s="11"/>
      <c r="C16" s="11"/>
      <c r="D16" s="12"/>
      <c r="E16" s="12"/>
      <c r="F16" s="12"/>
      <c r="G16" s="29">
        <f>IF(AND(E16&lt;&gt;"",F16&lt;&gt;""),MAX(1,F16-E16),"")</f>
      </c>
      <c r="H16" s="12"/>
      <c r="I16" s="12"/>
      <c r="J16" s="12"/>
      <c r="K16" s="12"/>
      <c r="L16" s="30">
        <f>IF(H16="","",H16+I16-J16-K16)</f>
      </c>
      <c r="M16" s="12"/>
    </row>
    <row r="17" ht="20" customHeight="1" spans="2:13" x14ac:dyDescent="0.25">
      <c r="B17" s="13"/>
      <c r="C17" s="13"/>
      <c r="D17" s="14"/>
      <c r="E17" s="14"/>
      <c r="F17" s="14"/>
      <c r="G17" s="26">
        <f>IF(AND(E17&lt;&gt;"",F17&lt;&gt;""),MAX(1,F17-E17),"")</f>
      </c>
      <c r="H17" s="14"/>
      <c r="I17" s="14"/>
      <c r="J17" s="14"/>
      <c r="K17" s="14"/>
      <c r="L17" s="27">
        <f>IF(H17="","",H17+I17-J17-K17)</f>
      </c>
      <c r="M17" s="14"/>
    </row>
    <row r="18" ht="20" customHeight="1" spans="2:13" x14ac:dyDescent="0.25">
      <c r="B18" s="11"/>
      <c r="C18" s="11"/>
      <c r="D18" s="12"/>
      <c r="E18" s="12"/>
      <c r="F18" s="12"/>
      <c r="G18" s="29">
        <f>IF(AND(E18&lt;&gt;"",F18&lt;&gt;""),MAX(1,F18-E18),"")</f>
      </c>
      <c r="H18" s="12"/>
      <c r="I18" s="12"/>
      <c r="J18" s="12"/>
      <c r="K18" s="12"/>
      <c r="L18" s="30">
        <f>IF(H18="","",H18+I18-J18-K18)</f>
      </c>
      <c r="M18" s="12"/>
    </row>
    <row r="19" ht="20" customHeight="1" spans="2:13" x14ac:dyDescent="0.25">
      <c r="B19" s="13"/>
      <c r="C19" s="13"/>
      <c r="D19" s="14"/>
      <c r="E19" s="14"/>
      <c r="F19" s="14"/>
      <c r="G19" s="26">
        <f>IF(AND(E19&lt;&gt;"",F19&lt;&gt;""),MAX(1,F19-E19),"")</f>
      </c>
      <c r="H19" s="14"/>
      <c r="I19" s="14"/>
      <c r="J19" s="14"/>
      <c r="K19" s="14"/>
      <c r="L19" s="27">
        <f>IF(H19="","",H19+I19-J19-K19)</f>
      </c>
      <c r="M19" s="14"/>
    </row>
    <row r="20" ht="20" customHeight="1" spans="2:13" x14ac:dyDescent="0.25">
      <c r="B20" s="11"/>
      <c r="C20" s="11"/>
      <c r="D20" s="12"/>
      <c r="E20" s="12"/>
      <c r="F20" s="12"/>
      <c r="G20" s="29">
        <f>IF(AND(E20&lt;&gt;"",F20&lt;&gt;""),MAX(1,F20-E20),"")</f>
      </c>
      <c r="H20" s="12"/>
      <c r="I20" s="12"/>
      <c r="J20" s="12"/>
      <c r="K20" s="12"/>
      <c r="L20" s="30">
        <f>IF(H20="","",H20+I20-J20-K20)</f>
      </c>
      <c r="M20" s="12"/>
    </row>
    <row r="21" ht="20" customHeight="1" spans="2:13" x14ac:dyDescent="0.25">
      <c r="B21" s="13"/>
      <c r="C21" s="13"/>
      <c r="D21" s="14"/>
      <c r="E21" s="14"/>
      <c r="F21" s="14"/>
      <c r="G21" s="26">
        <f>IF(AND(E21&lt;&gt;"",F21&lt;&gt;""),MAX(1,F21-E21),"")</f>
      </c>
      <c r="H21" s="14"/>
      <c r="I21" s="14"/>
      <c r="J21" s="14"/>
      <c r="K21" s="14"/>
      <c r="L21" s="27">
        <f>IF(H21="","",H21+I21-J21-K21)</f>
      </c>
      <c r="M21" s="14"/>
    </row>
    <row r="22" ht="20" customHeight="1" spans="2:13" x14ac:dyDescent="0.25">
      <c r="B22" s="11"/>
      <c r="C22" s="11"/>
      <c r="D22" s="12"/>
      <c r="E22" s="12"/>
      <c r="F22" s="12"/>
      <c r="G22" s="29">
        <f>IF(AND(E22&lt;&gt;"",F22&lt;&gt;""),MAX(1,F22-E22),"")</f>
      </c>
      <c r="H22" s="12"/>
      <c r="I22" s="12"/>
      <c r="J22" s="12"/>
      <c r="K22" s="12"/>
      <c r="L22" s="30">
        <f>IF(H22="","",H22+I22-J22-K22)</f>
      </c>
      <c r="M22" s="12"/>
    </row>
    <row r="23" ht="20" customHeight="1" spans="2:13" x14ac:dyDescent="0.25">
      <c r="B23" s="13"/>
      <c r="C23" s="13"/>
      <c r="D23" s="14"/>
      <c r="E23" s="14"/>
      <c r="F23" s="14"/>
      <c r="G23" s="26">
        <f>IF(AND(E23&lt;&gt;"",F23&lt;&gt;""),MAX(1,F23-E23),"")</f>
      </c>
      <c r="H23" s="14"/>
      <c r="I23" s="14"/>
      <c r="J23" s="14"/>
      <c r="K23" s="14"/>
      <c r="L23" s="27">
        <f>IF(H23="","",H23+I23-J23-K23)</f>
      </c>
      <c r="M23" s="14"/>
    </row>
    <row r="24" ht="20" customHeight="1" spans="2:13" x14ac:dyDescent="0.25">
      <c r="B24" s="11"/>
      <c r="C24" s="11"/>
      <c r="D24" s="12"/>
      <c r="E24" s="12"/>
      <c r="F24" s="12"/>
      <c r="G24" s="29">
        <f>IF(AND(E24&lt;&gt;"",F24&lt;&gt;""),MAX(1,F24-E24),"")</f>
      </c>
      <c r="H24" s="12"/>
      <c r="I24" s="12"/>
      <c r="J24" s="12"/>
      <c r="K24" s="12"/>
      <c r="L24" s="30">
        <f>IF(H24="","",H24+I24-J24-K24)</f>
      </c>
      <c r="M24" s="12"/>
    </row>
    <row r="25" ht="20" customHeight="1" spans="2:13" x14ac:dyDescent="0.25">
      <c r="B25" s="13"/>
      <c r="C25" s="13"/>
      <c r="D25" s="14"/>
      <c r="E25" s="14"/>
      <c r="F25" s="14"/>
      <c r="G25" s="26">
        <f>IF(AND(E25&lt;&gt;"",F25&lt;&gt;""),MAX(1,F25-E25),"")</f>
      </c>
      <c r="H25" s="14"/>
      <c r="I25" s="14"/>
      <c r="J25" s="14"/>
      <c r="K25" s="14"/>
      <c r="L25" s="27">
        <f>IF(H25="","",H25+I25-J25-K25)</f>
      </c>
      <c r="M25" s="14"/>
    </row>
    <row r="26" ht="20" customHeight="1" spans="2:13" x14ac:dyDescent="0.25">
      <c r="B26" s="11"/>
      <c r="C26" s="11"/>
      <c r="D26" s="12"/>
      <c r="E26" s="12"/>
      <c r="F26" s="12"/>
      <c r="G26" s="29">
        <f>IF(AND(E26&lt;&gt;"",F26&lt;&gt;""),MAX(1,F26-E26),"")</f>
      </c>
      <c r="H26" s="12"/>
      <c r="I26" s="12"/>
      <c r="J26" s="12"/>
      <c r="K26" s="12"/>
      <c r="L26" s="30">
        <f>IF(H26="","",H26+I26-J26-K26)</f>
      </c>
      <c r="M26" s="12"/>
    </row>
    <row r="27" ht="20" customHeight="1" spans="2:13" x14ac:dyDescent="0.25">
      <c r="B27" s="13"/>
      <c r="C27" s="13"/>
      <c r="D27" s="14"/>
      <c r="E27" s="14"/>
      <c r="F27" s="14"/>
      <c r="G27" s="26">
        <f>IF(AND(E27&lt;&gt;"",F27&lt;&gt;""),MAX(1,F27-E27),"")</f>
      </c>
      <c r="H27" s="14"/>
      <c r="I27" s="14"/>
      <c r="J27" s="14"/>
      <c r="K27" s="14"/>
      <c r="L27" s="27">
        <f>IF(H27="","",H27+I27-J27-K27)</f>
      </c>
      <c r="M27" s="14"/>
    </row>
    <row r="28" ht="20" customHeight="1" spans="2:13" x14ac:dyDescent="0.25">
      <c r="B28" s="11"/>
      <c r="C28" s="11"/>
      <c r="D28" s="12"/>
      <c r="E28" s="12"/>
      <c r="F28" s="12"/>
      <c r="G28" s="29">
        <f>IF(AND(E28&lt;&gt;"",F28&lt;&gt;""),MAX(1,F28-E28),"")</f>
      </c>
      <c r="H28" s="12"/>
      <c r="I28" s="12"/>
      <c r="J28" s="12"/>
      <c r="K28" s="12"/>
      <c r="L28" s="30">
        <f>IF(H28="","",H28+I28-J28-K28)</f>
      </c>
      <c r="M28" s="12"/>
    </row>
    <row r="29" ht="20" customHeight="1" spans="2:13" x14ac:dyDescent="0.25">
      <c r="B29" s="13"/>
      <c r="C29" s="13"/>
      <c r="D29" s="14"/>
      <c r="E29" s="14"/>
      <c r="F29" s="14"/>
      <c r="G29" s="26">
        <f>IF(AND(E29&lt;&gt;"",F29&lt;&gt;""),MAX(1,F29-E29),"")</f>
      </c>
      <c r="H29" s="14"/>
      <c r="I29" s="14"/>
      <c r="J29" s="14"/>
      <c r="K29" s="14"/>
      <c r="L29" s="27">
        <f>IF(H29="","",H29+I29-J29-K29)</f>
      </c>
      <c r="M29" s="14"/>
    </row>
    <row r="30" ht="20" customHeight="1" spans="2:13" x14ac:dyDescent="0.25">
      <c r="B30" s="11"/>
      <c r="C30" s="11"/>
      <c r="D30" s="12"/>
      <c r="E30" s="12"/>
      <c r="F30" s="12"/>
      <c r="G30" s="29">
        <f>IF(AND(E30&lt;&gt;"",F30&lt;&gt;""),MAX(1,F30-E30),"")</f>
      </c>
      <c r="H30" s="12"/>
      <c r="I30" s="12"/>
      <c r="J30" s="12"/>
      <c r="K30" s="12"/>
      <c r="L30" s="30">
        <f>IF(H30="","",H30+I30-J30-K30)</f>
      </c>
      <c r="M30" s="12"/>
    </row>
    <row r="31" ht="20" customHeight="1" spans="2:13" x14ac:dyDescent="0.25">
      <c r="B31" s="13"/>
      <c r="C31" s="13"/>
      <c r="D31" s="14"/>
      <c r="E31" s="14"/>
      <c r="F31" s="14"/>
      <c r="G31" s="26">
        <f>IF(AND(E31&lt;&gt;"",F31&lt;&gt;""),MAX(1,F31-E31),"")</f>
      </c>
      <c r="H31" s="14"/>
      <c r="I31" s="14"/>
      <c r="J31" s="14"/>
      <c r="K31" s="14"/>
      <c r="L31" s="27">
        <f>IF(H31="","",H31+I31-J31-K31)</f>
      </c>
      <c r="M31" s="14"/>
    </row>
    <row r="32" ht="20" customHeight="1" spans="2:13" x14ac:dyDescent="0.25">
      <c r="B32" s="11"/>
      <c r="C32" s="11"/>
      <c r="D32" s="12"/>
      <c r="E32" s="12"/>
      <c r="F32" s="12"/>
      <c r="G32" s="29">
        <f>IF(AND(E32&lt;&gt;"",F32&lt;&gt;""),MAX(1,F32-E32),"")</f>
      </c>
      <c r="H32" s="12"/>
      <c r="I32" s="12"/>
      <c r="J32" s="12"/>
      <c r="K32" s="12"/>
      <c r="L32" s="30">
        <f>IF(H32="","",H32+I32-J32-K32)</f>
      </c>
      <c r="M32" s="12"/>
    </row>
    <row r="33" ht="20" customHeight="1" spans="2:13" x14ac:dyDescent="0.25">
      <c r="B33" s="13"/>
      <c r="C33" s="13"/>
      <c r="D33" s="14"/>
      <c r="E33" s="14"/>
      <c r="F33" s="14"/>
      <c r="G33" s="26">
        <f>IF(AND(E33&lt;&gt;"",F33&lt;&gt;""),MAX(1,F33-E33),"")</f>
      </c>
      <c r="H33" s="14"/>
      <c r="I33" s="14"/>
      <c r="J33" s="14"/>
      <c r="K33" s="14"/>
      <c r="L33" s="27">
        <f>IF(H33="","",H33+I33-J33-K33)</f>
      </c>
      <c r="M33" s="14"/>
    </row>
    <row r="34" ht="20" customHeight="1" spans="2:13" x14ac:dyDescent="0.25">
      <c r="B34" s="11"/>
      <c r="C34" s="11"/>
      <c r="D34" s="12"/>
      <c r="E34" s="12"/>
      <c r="F34" s="12"/>
      <c r="G34" s="29">
        <f>IF(AND(E34&lt;&gt;"",F34&lt;&gt;""),MAX(1,F34-E34),"")</f>
      </c>
      <c r="H34" s="12"/>
      <c r="I34" s="12"/>
      <c r="J34" s="12"/>
      <c r="K34" s="12"/>
      <c r="L34" s="30">
        <f>IF(H34="","",H34+I34-J34-K34)</f>
      </c>
      <c r="M34" s="12"/>
    </row>
    <row r="35" ht="20" customHeight="1" spans="2:13" x14ac:dyDescent="0.25">
      <c r="B35" s="13"/>
      <c r="C35" s="13"/>
      <c r="D35" s="14"/>
      <c r="E35" s="14"/>
      <c r="F35" s="14"/>
      <c r="G35" s="26">
        <f>IF(AND(E35&lt;&gt;"",F35&lt;&gt;""),MAX(1,F35-E35),"")</f>
      </c>
      <c r="H35" s="14"/>
      <c r="I35" s="14"/>
      <c r="J35" s="14"/>
      <c r="K35" s="14"/>
      <c r="L35" s="27">
        <f>IF(H35="","",H35+I35-J35-K35)</f>
      </c>
      <c r="M35" s="14"/>
    </row>
    <row r="36" ht="20" customHeight="1" spans="2:13" x14ac:dyDescent="0.25">
      <c r="B36" s="11"/>
      <c r="C36" s="11"/>
      <c r="D36" s="12"/>
      <c r="E36" s="12"/>
      <c r="F36" s="12"/>
      <c r="G36" s="29">
        <f>IF(AND(E36&lt;&gt;"",F36&lt;&gt;""),MAX(1,F36-E36),"")</f>
      </c>
      <c r="H36" s="12"/>
      <c r="I36" s="12"/>
      <c r="J36" s="12"/>
      <c r="K36" s="12"/>
      <c r="L36" s="30">
        <f>IF(H36="","",H36+I36-J36-K36)</f>
      </c>
      <c r="M36" s="12"/>
    </row>
    <row r="37" ht="20" customHeight="1" spans="2:13" x14ac:dyDescent="0.25">
      <c r="B37" s="13"/>
      <c r="C37" s="13"/>
      <c r="D37" s="14"/>
      <c r="E37" s="14"/>
      <c r="F37" s="14"/>
      <c r="G37" s="26">
        <f>IF(AND(E37&lt;&gt;"",F37&lt;&gt;""),MAX(1,F37-E37),"")</f>
      </c>
      <c r="H37" s="14"/>
      <c r="I37" s="14"/>
      <c r="J37" s="14"/>
      <c r="K37" s="14"/>
      <c r="L37" s="27">
        <f>IF(H37="","",H37+I37-J37-K37)</f>
      </c>
      <c r="M37" s="14"/>
    </row>
    <row r="38" ht="20" customHeight="1" spans="2:13" x14ac:dyDescent="0.25">
      <c r="B38" s="11"/>
      <c r="C38" s="11"/>
      <c r="D38" s="12"/>
      <c r="E38" s="12"/>
      <c r="F38" s="12"/>
      <c r="G38" s="29">
        <f>IF(AND(E38&lt;&gt;"",F38&lt;&gt;""),MAX(1,F38-E38),"")</f>
      </c>
      <c r="H38" s="12"/>
      <c r="I38" s="12"/>
      <c r="J38" s="12"/>
      <c r="K38" s="12"/>
      <c r="L38" s="30">
        <f>IF(H38="","",H38+I38-J38-K38)</f>
      </c>
      <c r="M38" s="12"/>
    </row>
    <row r="39" ht="20" customHeight="1" spans="2:13" x14ac:dyDescent="0.25">
      <c r="B39" s="13"/>
      <c r="C39" s="13"/>
      <c r="D39" s="14"/>
      <c r="E39" s="14"/>
      <c r="F39" s="14"/>
      <c r="G39" s="26">
        <f>IF(AND(E39&lt;&gt;"",F39&lt;&gt;""),MAX(1,F39-E39),"")</f>
      </c>
      <c r="H39" s="14"/>
      <c r="I39" s="14"/>
      <c r="J39" s="14"/>
      <c r="K39" s="14"/>
      <c r="L39" s="27">
        <f>IF(H39="","",H39+I39-J39-K39)</f>
      </c>
      <c r="M39" s="14"/>
    </row>
    <row r="40" ht="20" customHeight="1" spans="2:13" x14ac:dyDescent="0.25">
      <c r="B40" s="11"/>
      <c r="C40" s="11"/>
      <c r="D40" s="12"/>
      <c r="E40" s="12"/>
      <c r="F40" s="12"/>
      <c r="G40" s="29">
        <f>IF(AND(E40&lt;&gt;"",F40&lt;&gt;""),MAX(1,F40-E40),"")</f>
      </c>
      <c r="H40" s="12"/>
      <c r="I40" s="12"/>
      <c r="J40" s="12"/>
      <c r="K40" s="12"/>
      <c r="L40" s="30">
        <f>IF(H40="","",H40+I40-J40-K40)</f>
      </c>
      <c r="M40" s="12"/>
    </row>
    <row r="41" ht="20" customHeight="1" spans="2:13" x14ac:dyDescent="0.25">
      <c r="B41" s="13"/>
      <c r="C41" s="13"/>
      <c r="D41" s="14"/>
      <c r="E41" s="14"/>
      <c r="F41" s="14"/>
      <c r="G41" s="26">
        <f>IF(AND(E41&lt;&gt;"",F41&lt;&gt;""),MAX(1,F41-E41),"")</f>
      </c>
      <c r="H41" s="14"/>
      <c r="I41" s="14"/>
      <c r="J41" s="14"/>
      <c r="K41" s="14"/>
      <c r="L41" s="27">
        <f>IF(H41="","",H41+I41-J41-K41)</f>
      </c>
      <c r="M41" s="14"/>
    </row>
    <row r="42" ht="20" customHeight="1" spans="2:13" x14ac:dyDescent="0.25">
      <c r="B42" s="11"/>
      <c r="C42" s="11"/>
      <c r="D42" s="12"/>
      <c r="E42" s="12"/>
      <c r="F42" s="12"/>
      <c r="G42" s="29">
        <f>IF(AND(E42&lt;&gt;"",F42&lt;&gt;""),MAX(1,F42-E42),"")</f>
      </c>
      <c r="H42" s="12"/>
      <c r="I42" s="12"/>
      <c r="J42" s="12"/>
      <c r="K42" s="12"/>
      <c r="L42" s="30">
        <f>IF(H42="","",H42+I42-J42-K42)</f>
      </c>
      <c r="M42" s="12"/>
    </row>
    <row r="43" ht="20" customHeight="1" spans="2:13" x14ac:dyDescent="0.25">
      <c r="B43" s="13"/>
      <c r="C43" s="13"/>
      <c r="D43" s="14"/>
      <c r="E43" s="14"/>
      <c r="F43" s="14"/>
      <c r="G43" s="26">
        <f>IF(AND(E43&lt;&gt;"",F43&lt;&gt;""),MAX(1,F43-E43),"")</f>
      </c>
      <c r="H43" s="14"/>
      <c r="I43" s="14"/>
      <c r="J43" s="14"/>
      <c r="K43" s="14"/>
      <c r="L43" s="27">
        <f>IF(H43="","",H43+I43-J43-K43)</f>
      </c>
      <c r="M43" s="14"/>
    </row>
    <row r="44" ht="20" customHeight="1" spans="2:13" x14ac:dyDescent="0.25">
      <c r="B44" s="11"/>
      <c r="C44" s="11"/>
      <c r="D44" s="12"/>
      <c r="E44" s="12"/>
      <c r="F44" s="12"/>
      <c r="G44" s="29">
        <f>IF(AND(E44&lt;&gt;"",F44&lt;&gt;""),MAX(1,F44-E44),"")</f>
      </c>
      <c r="H44" s="12"/>
      <c r="I44" s="12"/>
      <c r="J44" s="12"/>
      <c r="K44" s="12"/>
      <c r="L44" s="30">
        <f>IF(H44="","",H44+I44-J44-K44)</f>
      </c>
      <c r="M44" s="12"/>
    </row>
    <row r="45" ht="20" customHeight="1" spans="2:13" x14ac:dyDescent="0.25">
      <c r="B45" s="13"/>
      <c r="C45" s="13"/>
      <c r="D45" s="14"/>
      <c r="E45" s="14"/>
      <c r="F45" s="14"/>
      <c r="G45" s="26">
        <f>IF(AND(E45&lt;&gt;"",F45&lt;&gt;""),MAX(1,F45-E45),"")</f>
      </c>
      <c r="H45" s="14"/>
      <c r="I45" s="14"/>
      <c r="J45" s="14"/>
      <c r="K45" s="14"/>
      <c r="L45" s="27">
        <f>IF(H45="","",H45+I45-J45-K45)</f>
      </c>
      <c r="M45" s="14"/>
    </row>
    <row r="46" ht="20" customHeight="1" spans="2:13" x14ac:dyDescent="0.25">
      <c r="B46" s="11"/>
      <c r="C46" s="11"/>
      <c r="D46" s="12"/>
      <c r="E46" s="12"/>
      <c r="F46" s="12"/>
      <c r="G46" s="29">
        <f>IF(AND(E46&lt;&gt;"",F46&lt;&gt;""),MAX(1,F46-E46),"")</f>
      </c>
      <c r="H46" s="12"/>
      <c r="I46" s="12"/>
      <c r="J46" s="12"/>
      <c r="K46" s="12"/>
      <c r="L46" s="30">
        <f>IF(H46="","",H46+I46-J46-K46)</f>
      </c>
      <c r="M46" s="12"/>
    </row>
    <row r="47" ht="20" customHeight="1" spans="2:13" x14ac:dyDescent="0.25">
      <c r="B47" s="13"/>
      <c r="C47" s="13"/>
      <c r="D47" s="14"/>
      <c r="E47" s="14"/>
      <c r="F47" s="14"/>
      <c r="G47" s="26">
        <f>IF(AND(E47&lt;&gt;"",F47&lt;&gt;""),MAX(1,F47-E47),"")</f>
      </c>
      <c r="H47" s="14"/>
      <c r="I47" s="14"/>
      <c r="J47" s="14"/>
      <c r="K47" s="14"/>
      <c r="L47" s="27">
        <f>IF(H47="","",H47+I47-J47-K47)</f>
      </c>
      <c r="M47" s="14"/>
    </row>
    <row r="48" ht="20" customHeight="1" spans="2:13" x14ac:dyDescent="0.25">
      <c r="B48" s="11"/>
      <c r="C48" s="11"/>
      <c r="D48" s="12"/>
      <c r="E48" s="12"/>
      <c r="F48" s="12"/>
      <c r="G48" s="29">
        <f>IF(AND(E48&lt;&gt;"",F48&lt;&gt;""),MAX(1,F48-E48),"")</f>
      </c>
      <c r="H48" s="12"/>
      <c r="I48" s="12"/>
      <c r="J48" s="12"/>
      <c r="K48" s="12"/>
      <c r="L48" s="30">
        <f>IF(H48="","",H48+I48-J48-K48)</f>
      </c>
      <c r="M48" s="12"/>
    </row>
    <row r="49" ht="20" customHeight="1" spans="2:13" x14ac:dyDescent="0.25">
      <c r="B49" s="13"/>
      <c r="C49" s="13"/>
      <c r="D49" s="14"/>
      <c r="E49" s="14"/>
      <c r="F49" s="14"/>
      <c r="G49" s="26">
        <f>IF(AND(E49&lt;&gt;"",F49&lt;&gt;""),MAX(1,F49-E49),"")</f>
      </c>
      <c r="H49" s="14"/>
      <c r="I49" s="14"/>
      <c r="J49" s="14"/>
      <c r="K49" s="14"/>
      <c r="L49" s="27">
        <f>IF(H49="","",H49+I49-J49-K49)</f>
      </c>
      <c r="M49" s="14"/>
    </row>
    <row r="50" ht="20" customHeight="1" spans="2:13" x14ac:dyDescent="0.25">
      <c r="B50" s="11"/>
      <c r="C50" s="11"/>
      <c r="D50" s="12"/>
      <c r="E50" s="12"/>
      <c r="F50" s="12"/>
      <c r="G50" s="29">
        <f>IF(AND(E50&lt;&gt;"",F50&lt;&gt;""),MAX(1,F50-E50),"")</f>
      </c>
      <c r="H50" s="12"/>
      <c r="I50" s="12"/>
      <c r="J50" s="12"/>
      <c r="K50" s="12"/>
      <c r="L50" s="30">
        <f>IF(H50="","",H50+I50-J50-K50)</f>
      </c>
      <c r="M50" s="12"/>
    </row>
    <row r="51" ht="20" customHeight="1" spans="2:13" x14ac:dyDescent="0.25">
      <c r="B51" s="13"/>
      <c r="C51" s="13"/>
      <c r="D51" s="14"/>
      <c r="E51" s="14"/>
      <c r="F51" s="14"/>
      <c r="G51" s="26">
        <f>IF(AND(E51&lt;&gt;"",F51&lt;&gt;""),MAX(1,F51-E51),"")</f>
      </c>
      <c r="H51" s="14"/>
      <c r="I51" s="14"/>
      <c r="J51" s="14"/>
      <c r="K51" s="14"/>
      <c r="L51" s="27">
        <f>IF(H51="","",H51+I51-J51-K51)</f>
      </c>
      <c r="M51" s="14"/>
    </row>
    <row r="52" ht="20" customHeight="1" spans="2:13" x14ac:dyDescent="0.25">
      <c r="B52" s="11"/>
      <c r="C52" s="11"/>
      <c r="D52" s="12"/>
      <c r="E52" s="12"/>
      <c r="F52" s="12"/>
      <c r="G52" s="29">
        <f>IF(AND(E52&lt;&gt;"",F52&lt;&gt;""),MAX(1,F52-E52),"")</f>
      </c>
      <c r="H52" s="12"/>
      <c r="I52" s="12"/>
      <c r="J52" s="12"/>
      <c r="K52" s="12"/>
      <c r="L52" s="30">
        <f>IF(H52="","",H52+I52-J52-K52)</f>
      </c>
      <c r="M52" s="12"/>
    </row>
    <row r="53" ht="20" customHeight="1" spans="2:13" x14ac:dyDescent="0.25">
      <c r="B53" s="13"/>
      <c r="C53" s="13"/>
      <c r="D53" s="14"/>
      <c r="E53" s="14"/>
      <c r="F53" s="14"/>
      <c r="G53" s="26">
        <f>IF(AND(E53&lt;&gt;"",F53&lt;&gt;""),MAX(1,F53-E53),"")</f>
      </c>
      <c r="H53" s="14"/>
      <c r="I53" s="14"/>
      <c r="J53" s="14"/>
      <c r="K53" s="14"/>
      <c r="L53" s="27">
        <f>IF(H53="","",H53+I53-J53-K53)</f>
      </c>
      <c r="M53" s="14"/>
    </row>
    <row r="54" ht="20" customHeight="1" spans="2:13" x14ac:dyDescent="0.25">
      <c r="B54" s="11"/>
      <c r="C54" s="11"/>
      <c r="D54" s="12"/>
      <c r="E54" s="12"/>
      <c r="F54" s="12"/>
      <c r="G54" s="29">
        <f>IF(AND(E54&lt;&gt;"",F54&lt;&gt;""),MAX(1,F54-E54),"")</f>
      </c>
      <c r="H54" s="12"/>
      <c r="I54" s="12"/>
      <c r="J54" s="12"/>
      <c r="K54" s="12"/>
      <c r="L54" s="30">
        <f>IF(H54="","",H54+I54-J54-K54)</f>
      </c>
      <c r="M54" s="12"/>
    </row>
    <row r="55" ht="20" customHeight="1" spans="2:13" x14ac:dyDescent="0.25">
      <c r="B55" s="13"/>
      <c r="C55" s="13"/>
      <c r="D55" s="14"/>
      <c r="E55" s="14"/>
      <c r="F55" s="14"/>
      <c r="G55" s="26">
        <f>IF(AND(E55&lt;&gt;"",F55&lt;&gt;""),MAX(1,F55-E55),"")</f>
      </c>
      <c r="H55" s="14"/>
      <c r="I55" s="14"/>
      <c r="J55" s="14"/>
      <c r="K55" s="14"/>
      <c r="L55" s="27">
        <f>IF(H55="","",H55+I55-J55-K55)</f>
      </c>
      <c r="M55" s="14"/>
    </row>
    <row r="56" ht="20" customHeight="1" spans="2:13" x14ac:dyDescent="0.25">
      <c r="B56" s="11"/>
      <c r="C56" s="11"/>
      <c r="D56" s="12"/>
      <c r="E56" s="12"/>
      <c r="F56" s="12"/>
      <c r="G56" s="29">
        <f>IF(AND(E56&lt;&gt;"",F56&lt;&gt;""),MAX(1,F56-E56),"")</f>
      </c>
      <c r="H56" s="12"/>
      <c r="I56" s="12"/>
      <c r="J56" s="12"/>
      <c r="K56" s="12"/>
      <c r="L56" s="30">
        <f>IF(H56="","",H56+I56-J56-K56)</f>
      </c>
      <c r="M56" s="12"/>
    </row>
    <row r="57" ht="20" customHeight="1" spans="2:13" x14ac:dyDescent="0.25">
      <c r="B57" s="13"/>
      <c r="C57" s="13"/>
      <c r="D57" s="14"/>
      <c r="E57" s="14"/>
      <c r="F57" s="14"/>
      <c r="G57" s="26">
        <f>IF(AND(E57&lt;&gt;"",F57&lt;&gt;""),MAX(1,F57-E57),"")</f>
      </c>
      <c r="H57" s="14"/>
      <c r="I57" s="14"/>
      <c r="J57" s="14"/>
      <c r="K57" s="14"/>
      <c r="L57" s="27">
        <f>IF(H57="","",H57+I57-J57-K57)</f>
      </c>
      <c r="M57" s="14"/>
    </row>
    <row r="58" ht="20" customHeight="1" spans="2:13" x14ac:dyDescent="0.25">
      <c r="B58" s="11"/>
      <c r="C58" s="11"/>
      <c r="D58" s="12"/>
      <c r="E58" s="12"/>
      <c r="F58" s="12"/>
      <c r="G58" s="29">
        <f>IF(AND(E58&lt;&gt;"",F58&lt;&gt;""),MAX(1,F58-E58),"")</f>
      </c>
      <c r="H58" s="12"/>
      <c r="I58" s="12"/>
      <c r="J58" s="12"/>
      <c r="K58" s="12"/>
      <c r="L58" s="30">
        <f>IF(H58="","",H58+I58-J58-K58)</f>
      </c>
      <c r="M58" s="12"/>
    </row>
    <row r="59" ht="20" customHeight="1" spans="2:13" x14ac:dyDescent="0.25">
      <c r="B59" s="13"/>
      <c r="C59" s="13"/>
      <c r="D59" s="14"/>
      <c r="E59" s="14"/>
      <c r="F59" s="14"/>
      <c r="G59" s="26">
        <f>IF(AND(E59&lt;&gt;"",F59&lt;&gt;""),MAX(1,F59-E59),"")</f>
      </c>
      <c r="H59" s="14"/>
      <c r="I59" s="14"/>
      <c r="J59" s="14"/>
      <c r="K59" s="14"/>
      <c r="L59" s="27">
        <f>IF(H59="","",H59+I59-J59-K59)</f>
      </c>
      <c r="M59" s="14"/>
    </row>
    <row r="60" ht="20" customHeight="1" spans="2:13" x14ac:dyDescent="0.25">
      <c r="B60" s="11"/>
      <c r="C60" s="11"/>
      <c r="D60" s="12"/>
      <c r="E60" s="12"/>
      <c r="F60" s="12"/>
      <c r="G60" s="29">
        <f>IF(AND(E60&lt;&gt;"",F60&lt;&gt;""),MAX(1,F60-E60),"")</f>
      </c>
      <c r="H60" s="12"/>
      <c r="I60" s="12"/>
      <c r="J60" s="12"/>
      <c r="K60" s="12"/>
      <c r="L60" s="30">
        <f>IF(H60="","",H60+I60-J60-K60)</f>
      </c>
      <c r="M60" s="12"/>
    </row>
    <row r="61" ht="20" customHeight="1" spans="2:13" x14ac:dyDescent="0.25">
      <c r="B61" s="13"/>
      <c r="C61" s="13"/>
      <c r="D61" s="14"/>
      <c r="E61" s="14"/>
      <c r="F61" s="14"/>
      <c r="G61" s="26">
        <f>IF(AND(E61&lt;&gt;"",F61&lt;&gt;""),MAX(1,F61-E61),"")</f>
      </c>
      <c r="H61" s="14"/>
      <c r="I61" s="14"/>
      <c r="J61" s="14"/>
      <c r="K61" s="14"/>
      <c r="L61" s="27">
        <f>IF(H61="","",H61+I61-J61-K61)</f>
      </c>
      <c r="M61" s="14"/>
    </row>
    <row r="62" ht="20" customHeight="1" spans="2:13" x14ac:dyDescent="0.25">
      <c r="B62" s="11"/>
      <c r="C62" s="11"/>
      <c r="D62" s="12"/>
      <c r="E62" s="12"/>
      <c r="F62" s="12"/>
      <c r="G62" s="29">
        <f>IF(AND(E62&lt;&gt;"",F62&lt;&gt;""),MAX(1,F62-E62),"")</f>
      </c>
      <c r="H62" s="12"/>
      <c r="I62" s="12"/>
      <c r="J62" s="12"/>
      <c r="K62" s="12"/>
      <c r="L62" s="30">
        <f>IF(H62="","",H62+I62-J62-K62)</f>
      </c>
      <c r="M62" s="12"/>
    </row>
    <row r="63" ht="20" customHeight="1" spans="2:13" x14ac:dyDescent="0.25">
      <c r="B63" s="13"/>
      <c r="C63" s="13"/>
      <c r="D63" s="14"/>
      <c r="E63" s="14"/>
      <c r="F63" s="14"/>
      <c r="G63" s="26">
        <f>IF(AND(E63&lt;&gt;"",F63&lt;&gt;""),MAX(1,F63-E63),"")</f>
      </c>
      <c r="H63" s="14"/>
      <c r="I63" s="14"/>
      <c r="J63" s="14"/>
      <c r="K63" s="14"/>
      <c r="L63" s="27">
        <f>IF(H63="","",H63+I63-J63-K63)</f>
      </c>
      <c r="M63" s="14"/>
    </row>
    <row r="64" ht="20" customHeight="1" spans="2:13" x14ac:dyDescent="0.25">
      <c r="B64" s="11"/>
      <c r="C64" s="11"/>
      <c r="D64" s="12"/>
      <c r="E64" s="12"/>
      <c r="F64" s="12"/>
      <c r="G64" s="29">
        <f>IF(AND(E64&lt;&gt;"",F64&lt;&gt;""),MAX(1,F64-E64),"")</f>
      </c>
      <c r="H64" s="12"/>
      <c r="I64" s="12"/>
      <c r="J64" s="12"/>
      <c r="K64" s="12"/>
      <c r="L64" s="30">
        <f>IF(H64="","",H64+I64-J64-K64)</f>
      </c>
      <c r="M64" s="12"/>
    </row>
    <row r="65" ht="20" customHeight="1" spans="2:13" x14ac:dyDescent="0.25">
      <c r="B65" s="13"/>
      <c r="C65" s="13"/>
      <c r="D65" s="14"/>
      <c r="E65" s="14"/>
      <c r="F65" s="14"/>
      <c r="G65" s="26">
        <f>IF(AND(E65&lt;&gt;"",F65&lt;&gt;""),MAX(1,F65-E65),"")</f>
      </c>
      <c r="H65" s="14"/>
      <c r="I65" s="14"/>
      <c r="J65" s="14"/>
      <c r="K65" s="14"/>
      <c r="L65" s="27">
        <f>IF(H65="","",H65+I65-J65-K65)</f>
      </c>
      <c r="M65" s="14"/>
    </row>
    <row r="66" ht="20" customHeight="1" spans="2:13" x14ac:dyDescent="0.25">
      <c r="B66" s="11"/>
      <c r="C66" s="11"/>
      <c r="D66" s="12"/>
      <c r="E66" s="12"/>
      <c r="F66" s="12"/>
      <c r="G66" s="29">
        <f>IF(AND(E66&lt;&gt;"",F66&lt;&gt;""),MAX(1,F66-E66),"")</f>
      </c>
      <c r="H66" s="12"/>
      <c r="I66" s="12"/>
      <c r="J66" s="12"/>
      <c r="K66" s="12"/>
      <c r="L66" s="30">
        <f>IF(H66="","",H66+I66-J66-K66)</f>
      </c>
      <c r="M66" s="12"/>
    </row>
    <row r="67" ht="20" customHeight="1" spans="2:13" x14ac:dyDescent="0.25">
      <c r="B67" s="13"/>
      <c r="C67" s="13"/>
      <c r="D67" s="14"/>
      <c r="E67" s="14"/>
      <c r="F67" s="14"/>
      <c r="G67" s="26">
        <f>IF(AND(E67&lt;&gt;"",F67&lt;&gt;""),MAX(1,F67-E67),"")</f>
      </c>
      <c r="H67" s="14"/>
      <c r="I67" s="14"/>
      <c r="J67" s="14"/>
      <c r="K67" s="14"/>
      <c r="L67" s="27">
        <f>IF(H67="","",H67+I67-J67-K67)</f>
      </c>
      <c r="M67" s="14"/>
    </row>
    <row r="68" ht="20" customHeight="1" spans="2:13" x14ac:dyDescent="0.25">
      <c r="B68" s="11"/>
      <c r="C68" s="11"/>
      <c r="D68" s="12"/>
      <c r="E68" s="12"/>
      <c r="F68" s="12"/>
      <c r="G68" s="29">
        <f>IF(AND(E68&lt;&gt;"",F68&lt;&gt;""),MAX(1,F68-E68),"")</f>
      </c>
      <c r="H68" s="12"/>
      <c r="I68" s="12"/>
      <c r="J68" s="12"/>
      <c r="K68" s="12"/>
      <c r="L68" s="30">
        <f>IF(H68="","",H68+I68-J68-K68)</f>
      </c>
      <c r="M68" s="12"/>
    </row>
    <row r="69" ht="20" customHeight="1" spans="2:13" x14ac:dyDescent="0.25">
      <c r="B69" s="13"/>
      <c r="C69" s="13"/>
      <c r="D69" s="14"/>
      <c r="E69" s="14"/>
      <c r="F69" s="14"/>
      <c r="G69" s="26">
        <f>IF(AND(E69&lt;&gt;"",F69&lt;&gt;""),MAX(1,F69-E69),"")</f>
      </c>
      <c r="H69" s="14"/>
      <c r="I69" s="14"/>
      <c r="J69" s="14"/>
      <c r="K69" s="14"/>
      <c r="L69" s="27">
        <f>IF(H69="","",H69+I69-J69-K69)</f>
      </c>
      <c r="M69" s="14"/>
    </row>
    <row r="70" ht="20" customHeight="1" spans="2:13" x14ac:dyDescent="0.25">
      <c r="B70" s="11"/>
      <c r="C70" s="11"/>
      <c r="D70" s="12"/>
      <c r="E70" s="12"/>
      <c r="F70" s="12"/>
      <c r="G70" s="29">
        <f>IF(AND(E70&lt;&gt;"",F70&lt;&gt;""),MAX(1,F70-E70),"")</f>
      </c>
      <c r="H70" s="12"/>
      <c r="I70" s="12"/>
      <c r="J70" s="12"/>
      <c r="K70" s="12"/>
      <c r="L70" s="30">
        <f>IF(H70="","",H70+I70-J70-K70)</f>
      </c>
      <c r="M70" s="12"/>
    </row>
    <row r="71" ht="20" customHeight="1" spans="2:13" x14ac:dyDescent="0.25">
      <c r="B71" s="13"/>
      <c r="C71" s="13"/>
      <c r="D71" s="14"/>
      <c r="E71" s="14"/>
      <c r="F71" s="14"/>
      <c r="G71" s="26">
        <f>IF(AND(E71&lt;&gt;"",F71&lt;&gt;""),MAX(1,F71-E71),"")</f>
      </c>
      <c r="H71" s="14"/>
      <c r="I71" s="14"/>
      <c r="J71" s="14"/>
      <c r="K71" s="14"/>
      <c r="L71" s="27">
        <f>IF(H71="","",H71+I71-J71-K71)</f>
      </c>
      <c r="M71" s="14"/>
    </row>
    <row r="72" ht="20" customHeight="1" spans="2:13" x14ac:dyDescent="0.25">
      <c r="B72" s="11"/>
      <c r="C72" s="11"/>
      <c r="D72" s="12"/>
      <c r="E72" s="12"/>
      <c r="F72" s="12"/>
      <c r="G72" s="29">
        <f>IF(AND(E72&lt;&gt;"",F72&lt;&gt;""),MAX(1,F72-E72),"")</f>
      </c>
      <c r="H72" s="12"/>
      <c r="I72" s="12"/>
      <c r="J72" s="12"/>
      <c r="K72" s="12"/>
      <c r="L72" s="30">
        <f>IF(H72="","",H72+I72-J72-K72)</f>
      </c>
      <c r="M72" s="12"/>
    </row>
    <row r="73" ht="20" customHeight="1" spans="2:13" x14ac:dyDescent="0.25">
      <c r="B73" s="13"/>
      <c r="C73" s="13"/>
      <c r="D73" s="14"/>
      <c r="E73" s="14"/>
      <c r="F73" s="14"/>
      <c r="G73" s="26">
        <f>IF(AND(E73&lt;&gt;"",F73&lt;&gt;""),MAX(1,F73-E73),"")</f>
      </c>
      <c r="H73" s="14"/>
      <c r="I73" s="14"/>
      <c r="J73" s="14"/>
      <c r="K73" s="14"/>
      <c r="L73" s="27">
        <f>IF(H73="","",H73+I73-J73-K73)</f>
      </c>
      <c r="M73" s="14"/>
    </row>
    <row r="74" ht="20" customHeight="1" spans="2:13" x14ac:dyDescent="0.25">
      <c r="B74" s="11"/>
      <c r="C74" s="11"/>
      <c r="D74" s="12"/>
      <c r="E74" s="12"/>
      <c r="F74" s="12"/>
      <c r="G74" s="29">
        <f>IF(AND(E74&lt;&gt;"",F74&lt;&gt;""),MAX(1,F74-E74),"")</f>
      </c>
      <c r="H74" s="12"/>
      <c r="I74" s="12"/>
      <c r="J74" s="12"/>
      <c r="K74" s="12"/>
      <c r="L74" s="30">
        <f>IF(H74="","",H74+I74-J74-K74)</f>
      </c>
      <c r="M74" s="12"/>
    </row>
    <row r="75" ht="20" customHeight="1" spans="2:13" x14ac:dyDescent="0.25">
      <c r="B75" s="13"/>
      <c r="C75" s="13"/>
      <c r="D75" s="14"/>
      <c r="E75" s="14"/>
      <c r="F75" s="14"/>
      <c r="G75" s="26">
        <f>IF(AND(E75&lt;&gt;"",F75&lt;&gt;""),MAX(1,F75-E75),"")</f>
      </c>
      <c r="H75" s="14"/>
      <c r="I75" s="14"/>
      <c r="J75" s="14"/>
      <c r="K75" s="14"/>
      <c r="L75" s="27">
        <f>IF(H75="","",H75+I75-J75-K75)</f>
      </c>
      <c r="M75" s="14"/>
    </row>
    <row r="76" ht="20" customHeight="1" spans="2:13" x14ac:dyDescent="0.25">
      <c r="B76" s="11"/>
      <c r="C76" s="11"/>
      <c r="D76" s="12"/>
      <c r="E76" s="12"/>
      <c r="F76" s="12"/>
      <c r="G76" s="29">
        <f>IF(AND(E76&lt;&gt;"",F76&lt;&gt;""),MAX(1,F76-E76),"")</f>
      </c>
      <c r="H76" s="12"/>
      <c r="I76" s="12"/>
      <c r="J76" s="12"/>
      <c r="K76" s="12"/>
      <c r="L76" s="30">
        <f>IF(H76="","",H76+I76-J76-K76)</f>
      </c>
      <c r="M76" s="12"/>
    </row>
    <row r="77" ht="20" customHeight="1" spans="2:13" x14ac:dyDescent="0.25">
      <c r="B77" s="13"/>
      <c r="C77" s="13"/>
      <c r="D77" s="14"/>
      <c r="E77" s="14"/>
      <c r="F77" s="14"/>
      <c r="G77" s="26">
        <f>IF(AND(E77&lt;&gt;"",F77&lt;&gt;""),MAX(1,F77-E77),"")</f>
      </c>
      <c r="H77" s="14"/>
      <c r="I77" s="14"/>
      <c r="J77" s="14"/>
      <c r="K77" s="14"/>
      <c r="L77" s="27">
        <f>IF(H77="","",H77+I77-J77-K77)</f>
      </c>
      <c r="M77" s="14"/>
    </row>
    <row r="78" ht="20" customHeight="1" spans="2:13" x14ac:dyDescent="0.25">
      <c r="B78" s="11"/>
      <c r="C78" s="11"/>
      <c r="D78" s="12"/>
      <c r="E78" s="12"/>
      <c r="F78" s="12"/>
      <c r="G78" s="29">
        <f>IF(AND(E78&lt;&gt;"",F78&lt;&gt;""),MAX(1,F78-E78),"")</f>
      </c>
      <c r="H78" s="12"/>
      <c r="I78" s="12"/>
      <c r="J78" s="12"/>
      <c r="K78" s="12"/>
      <c r="L78" s="30">
        <f>IF(H78="","",H78+I78-J78-K78)</f>
      </c>
      <c r="M78" s="12"/>
    </row>
    <row r="79" ht="20" customHeight="1" spans="2:13" x14ac:dyDescent="0.25">
      <c r="B79" s="13"/>
      <c r="C79" s="13"/>
      <c r="D79" s="14"/>
      <c r="E79" s="14"/>
      <c r="F79" s="14"/>
      <c r="G79" s="26">
        <f>IF(AND(E79&lt;&gt;"",F79&lt;&gt;""),MAX(1,F79-E79),"")</f>
      </c>
      <c r="H79" s="14"/>
      <c r="I79" s="14"/>
      <c r="J79" s="14"/>
      <c r="K79" s="14"/>
      <c r="L79" s="27">
        <f>IF(H79="","",H79+I79-J79-K79)</f>
      </c>
      <c r="M79" s="14"/>
    </row>
    <row r="80" ht="20" customHeight="1" spans="2:13" x14ac:dyDescent="0.25">
      <c r="B80" s="11"/>
      <c r="C80" s="11"/>
      <c r="D80" s="12"/>
      <c r="E80" s="12"/>
      <c r="F80" s="12"/>
      <c r="G80" s="29">
        <f>IF(AND(E80&lt;&gt;"",F80&lt;&gt;""),MAX(1,F80-E80),"")</f>
      </c>
      <c r="H80" s="12"/>
      <c r="I80" s="12"/>
      <c r="J80" s="12"/>
      <c r="K80" s="12"/>
      <c r="L80" s="30">
        <f>IF(H80="","",H80+I80-J80-K80)</f>
      </c>
      <c r="M80" s="12"/>
    </row>
    <row r="81" ht="20" customHeight="1" spans="2:13" x14ac:dyDescent="0.25">
      <c r="B81" s="13"/>
      <c r="C81" s="13"/>
      <c r="D81" s="14"/>
      <c r="E81" s="14"/>
      <c r="F81" s="14"/>
      <c r="G81" s="26">
        <f>IF(AND(E81&lt;&gt;"",F81&lt;&gt;""),MAX(1,F81-E81),"")</f>
      </c>
      <c r="H81" s="14"/>
      <c r="I81" s="14"/>
      <c r="J81" s="14"/>
      <c r="K81" s="14"/>
      <c r="L81" s="27">
        <f>IF(H81="","",H81+I81-J81-K81)</f>
      </c>
      <c r="M81" s="14"/>
    </row>
    <row r="82" ht="20" customHeight="1" spans="2:13" x14ac:dyDescent="0.25">
      <c r="B82" s="11"/>
      <c r="C82" s="11"/>
      <c r="D82" s="12"/>
      <c r="E82" s="12"/>
      <c r="F82" s="12"/>
      <c r="G82" s="29">
        <f>IF(AND(E82&lt;&gt;"",F82&lt;&gt;""),MAX(1,F82-E82),"")</f>
      </c>
      <c r="H82" s="12"/>
      <c r="I82" s="12"/>
      <c r="J82" s="12"/>
      <c r="K82" s="12"/>
      <c r="L82" s="30">
        <f>IF(H82="","",H82+I82-J82-K82)</f>
      </c>
      <c r="M82" s="12"/>
    </row>
    <row r="83" ht="20" customHeight="1" spans="2:13" x14ac:dyDescent="0.25">
      <c r="B83" s="13"/>
      <c r="C83" s="13"/>
      <c r="D83" s="14"/>
      <c r="E83" s="14"/>
      <c r="F83" s="14"/>
      <c r="G83" s="26">
        <f>IF(AND(E83&lt;&gt;"",F83&lt;&gt;""),MAX(1,F83-E83),"")</f>
      </c>
      <c r="H83" s="14"/>
      <c r="I83" s="14"/>
      <c r="J83" s="14"/>
      <c r="K83" s="14"/>
      <c r="L83" s="27">
        <f>IF(H83="","",H83+I83-J83-K83)</f>
      </c>
      <c r="M83" s="14"/>
    </row>
    <row r="84" ht="20" customHeight="1" spans="2:13" x14ac:dyDescent="0.25">
      <c r="B84" s="11"/>
      <c r="C84" s="11"/>
      <c r="D84" s="12"/>
      <c r="E84" s="12"/>
      <c r="F84" s="12"/>
      <c r="G84" s="29">
        <f>IF(AND(E84&lt;&gt;"",F84&lt;&gt;""),MAX(1,F84-E84),"")</f>
      </c>
      <c r="H84" s="12"/>
      <c r="I84" s="12"/>
      <c r="J84" s="12"/>
      <c r="K84" s="12"/>
      <c r="L84" s="30">
        <f>IF(H84="","",H84+I84-J84-K84)</f>
      </c>
      <c r="M84" s="12"/>
    </row>
    <row r="85" ht="20" customHeight="1" spans="2:13" x14ac:dyDescent="0.25">
      <c r="B85" s="13"/>
      <c r="C85" s="13"/>
      <c r="D85" s="14"/>
      <c r="E85" s="14"/>
      <c r="F85" s="14"/>
      <c r="G85" s="26">
        <f>IF(AND(E85&lt;&gt;"",F85&lt;&gt;""),MAX(1,F85-E85),"")</f>
      </c>
      <c r="H85" s="14"/>
      <c r="I85" s="14"/>
      <c r="J85" s="14"/>
      <c r="K85" s="14"/>
      <c r="L85" s="27">
        <f>IF(H85="","",H85+I85-J85-K85)</f>
      </c>
      <c r="M85" s="14"/>
    </row>
    <row r="86" ht="20" customHeight="1" spans="2:13" x14ac:dyDescent="0.25">
      <c r="B86" s="11"/>
      <c r="C86" s="11"/>
      <c r="D86" s="12"/>
      <c r="E86" s="12"/>
      <c r="F86" s="12"/>
      <c r="G86" s="29">
        <f>IF(AND(E86&lt;&gt;"",F86&lt;&gt;""),MAX(1,F86-E86),"")</f>
      </c>
      <c r="H86" s="12"/>
      <c r="I86" s="12"/>
      <c r="J86" s="12"/>
      <c r="K86" s="12"/>
      <c r="L86" s="30">
        <f>IF(H86="","",H86+I86-J86-K86)</f>
      </c>
      <c r="M86" s="12"/>
    </row>
    <row r="87" ht="20" customHeight="1" spans="2:13" x14ac:dyDescent="0.25">
      <c r="B87" s="13"/>
      <c r="C87" s="13"/>
      <c r="D87" s="14"/>
      <c r="E87" s="14"/>
      <c r="F87" s="14"/>
      <c r="G87" s="26">
        <f>IF(AND(E87&lt;&gt;"",F87&lt;&gt;""),MAX(1,F87-E87),"")</f>
      </c>
      <c r="H87" s="14"/>
      <c r="I87" s="14"/>
      <c r="J87" s="14"/>
      <c r="K87" s="14"/>
      <c r="L87" s="27">
        <f>IF(H87="","",H87+I87-J87-K87)</f>
      </c>
      <c r="M87" s="14"/>
    </row>
    <row r="88" ht="20" customHeight="1" spans="2:13" x14ac:dyDescent="0.25">
      <c r="B88" s="11"/>
      <c r="C88" s="11"/>
      <c r="D88" s="12"/>
      <c r="E88" s="12"/>
      <c r="F88" s="12"/>
      <c r="G88" s="29">
        <f>IF(AND(E88&lt;&gt;"",F88&lt;&gt;""),MAX(1,F88-E88),"")</f>
      </c>
      <c r="H88" s="12"/>
      <c r="I88" s="12"/>
      <c r="J88" s="12"/>
      <c r="K88" s="12"/>
      <c r="L88" s="30">
        <f>IF(H88="","",H88+I88-J88-K88)</f>
      </c>
      <c r="M88" s="12"/>
    </row>
    <row r="89" ht="20" customHeight="1" spans="2:13" x14ac:dyDescent="0.25">
      <c r="B89" s="13"/>
      <c r="C89" s="13"/>
      <c r="D89" s="14"/>
      <c r="E89" s="14"/>
      <c r="F89" s="14"/>
      <c r="G89" s="26">
        <f>IF(AND(E89&lt;&gt;"",F89&lt;&gt;""),MAX(1,F89-E89),"")</f>
      </c>
      <c r="H89" s="14"/>
      <c r="I89" s="14"/>
      <c r="J89" s="14"/>
      <c r="K89" s="14"/>
      <c r="L89" s="27">
        <f>IF(H89="","",H89+I89-J89-K89)</f>
      </c>
      <c r="M89" s="14"/>
    </row>
    <row r="90" ht="20" customHeight="1" spans="2:13" x14ac:dyDescent="0.25">
      <c r="B90" s="11"/>
      <c r="C90" s="11"/>
      <c r="D90" s="12"/>
      <c r="E90" s="12"/>
      <c r="F90" s="12"/>
      <c r="G90" s="29">
        <f>IF(AND(E90&lt;&gt;"",F90&lt;&gt;""),MAX(1,F90-E90),"")</f>
      </c>
      <c r="H90" s="12"/>
      <c r="I90" s="12"/>
      <c r="J90" s="12"/>
      <c r="K90" s="12"/>
      <c r="L90" s="30">
        <f>IF(H90="","",H90+I90-J90-K90)</f>
      </c>
      <c r="M90" s="12"/>
    </row>
    <row r="91" ht="20" customHeight="1" spans="2:13" x14ac:dyDescent="0.25">
      <c r="B91" s="13"/>
      <c r="C91" s="13"/>
      <c r="D91" s="14"/>
      <c r="E91" s="14"/>
      <c r="F91" s="14"/>
      <c r="G91" s="26">
        <f>IF(AND(E91&lt;&gt;"",F91&lt;&gt;""),MAX(1,F91-E91),"")</f>
      </c>
      <c r="H91" s="14"/>
      <c r="I91" s="14"/>
      <c r="J91" s="14"/>
      <c r="K91" s="14"/>
      <c r="L91" s="27">
        <f>IF(H91="","",H91+I91-J91-K91)</f>
      </c>
      <c r="M91" s="14"/>
    </row>
    <row r="92" ht="20" customHeight="1" spans="2:13" x14ac:dyDescent="0.25">
      <c r="B92" s="11"/>
      <c r="C92" s="11"/>
      <c r="D92" s="12"/>
      <c r="E92" s="12"/>
      <c r="F92" s="12"/>
      <c r="G92" s="29">
        <f>IF(AND(E92&lt;&gt;"",F92&lt;&gt;""),MAX(1,F92-E92),"")</f>
      </c>
      <c r="H92" s="12"/>
      <c r="I92" s="12"/>
      <c r="J92" s="12"/>
      <c r="K92" s="12"/>
      <c r="L92" s="30">
        <f>IF(H92="","",H92+I92-J92-K92)</f>
      </c>
      <c r="M92" s="12"/>
    </row>
    <row r="93" ht="20" customHeight="1" spans="2:13" x14ac:dyDescent="0.25">
      <c r="B93" s="13"/>
      <c r="C93" s="13"/>
      <c r="D93" s="14"/>
      <c r="E93" s="14"/>
      <c r="F93" s="14"/>
      <c r="G93" s="26">
        <f>IF(AND(E93&lt;&gt;"",F93&lt;&gt;""),MAX(1,F93-E93),"")</f>
      </c>
      <c r="H93" s="14"/>
      <c r="I93" s="14"/>
      <c r="J93" s="14"/>
      <c r="K93" s="14"/>
      <c r="L93" s="27">
        <f>IF(H93="","",H93+I93-J93-K93)</f>
      </c>
      <c r="M93" s="14"/>
    </row>
    <row r="94" ht="20" customHeight="1" spans="2:13" x14ac:dyDescent="0.25">
      <c r="B94" s="11"/>
      <c r="C94" s="11"/>
      <c r="D94" s="12"/>
      <c r="E94" s="12"/>
      <c r="F94" s="12"/>
      <c r="G94" s="29">
        <f>IF(AND(E94&lt;&gt;"",F94&lt;&gt;""),MAX(1,F94-E94),"")</f>
      </c>
      <c r="H94" s="12"/>
      <c r="I94" s="12"/>
      <c r="J94" s="12"/>
      <c r="K94" s="12"/>
      <c r="L94" s="30">
        <f>IF(H94="","",H94+I94-J94-K94)</f>
      </c>
      <c r="M94" s="12"/>
    </row>
    <row r="95" ht="20" customHeight="1" spans="2:13" x14ac:dyDescent="0.25">
      <c r="B95" s="13"/>
      <c r="C95" s="13"/>
      <c r="D95" s="14"/>
      <c r="E95" s="14"/>
      <c r="F95" s="14"/>
      <c r="G95" s="26">
        <f>IF(AND(E95&lt;&gt;"",F95&lt;&gt;""),MAX(1,F95-E95),"")</f>
      </c>
      <c r="H95" s="14"/>
      <c r="I95" s="14"/>
      <c r="J95" s="14"/>
      <c r="K95" s="14"/>
      <c r="L95" s="27">
        <f>IF(H95="","",H95+I95-J95-K95)</f>
      </c>
      <c r="M95" s="14"/>
    </row>
    <row r="96" ht="20" customHeight="1" spans="2:13" x14ac:dyDescent="0.25">
      <c r="B96" s="11"/>
      <c r="C96" s="11"/>
      <c r="D96" s="12"/>
      <c r="E96" s="12"/>
      <c r="F96" s="12"/>
      <c r="G96" s="29">
        <f>IF(AND(E96&lt;&gt;"",F96&lt;&gt;""),MAX(1,F96-E96),"")</f>
      </c>
      <c r="H96" s="12"/>
      <c r="I96" s="12"/>
      <c r="J96" s="12"/>
      <c r="K96" s="12"/>
      <c r="L96" s="30">
        <f>IF(H96="","",H96+I96-J96-K96)</f>
      </c>
      <c r="M96" s="12"/>
    </row>
    <row r="97" ht="20" customHeight="1" spans="2:13" x14ac:dyDescent="0.25">
      <c r="B97" s="13"/>
      <c r="C97" s="13"/>
      <c r="D97" s="14"/>
      <c r="E97" s="14"/>
      <c r="F97" s="14"/>
      <c r="G97" s="26">
        <f>IF(AND(E97&lt;&gt;"",F97&lt;&gt;""),MAX(1,F97-E97),"")</f>
      </c>
      <c r="H97" s="14"/>
      <c r="I97" s="14"/>
      <c r="J97" s="14"/>
      <c r="K97" s="14"/>
      <c r="L97" s="27">
        <f>IF(H97="","",H97+I97-J97-K97)</f>
      </c>
      <c r="M97" s="14"/>
    </row>
    <row r="98" ht="20" customHeight="1" spans="2:13" x14ac:dyDescent="0.25">
      <c r="B98" s="11"/>
      <c r="C98" s="11"/>
      <c r="D98" s="12"/>
      <c r="E98" s="12"/>
      <c r="F98" s="12"/>
      <c r="G98" s="29">
        <f>IF(AND(E98&lt;&gt;"",F98&lt;&gt;""),MAX(1,F98-E98),"")</f>
      </c>
      <c r="H98" s="12"/>
      <c r="I98" s="12"/>
      <c r="J98" s="12"/>
      <c r="K98" s="12"/>
      <c r="L98" s="30">
        <f>IF(H98="","",H98+I98-J98-K98)</f>
      </c>
      <c r="M98" s="12"/>
    </row>
    <row r="99" ht="20" customHeight="1" spans="2:13" x14ac:dyDescent="0.25">
      <c r="B99" s="13"/>
      <c r="C99" s="13"/>
      <c r="D99" s="14"/>
      <c r="E99" s="14"/>
      <c r="F99" s="14"/>
      <c r="G99" s="26">
        <f>IF(AND(E99&lt;&gt;"",F99&lt;&gt;""),MAX(1,F99-E99),"")</f>
      </c>
      <c r="H99" s="14"/>
      <c r="I99" s="14"/>
      <c r="J99" s="14"/>
      <c r="K99" s="14"/>
      <c r="L99" s="27">
        <f>IF(H99="","",H99+I99-J99-K99)</f>
      </c>
      <c r="M99" s="14"/>
    </row>
    <row r="100" ht="20" customHeight="1" spans="2:13" x14ac:dyDescent="0.25">
      <c r="B100" s="11"/>
      <c r="C100" s="11"/>
      <c r="D100" s="12"/>
      <c r="E100" s="12"/>
      <c r="F100" s="12"/>
      <c r="G100" s="29">
        <f>IF(AND(E100&lt;&gt;"",F100&lt;&gt;""),MAX(1,F100-E100),"")</f>
      </c>
      <c r="H100" s="12"/>
      <c r="I100" s="12"/>
      <c r="J100" s="12"/>
      <c r="K100" s="12"/>
      <c r="L100" s="30">
        <f>IF(H100="","",H100+I100-J100-K100)</f>
      </c>
      <c r="M100" s="12"/>
    </row>
    <row r="101" ht="20" customHeight="1" spans="2:13" x14ac:dyDescent="0.25">
      <c r="B101" s="13"/>
      <c r="C101" s="13"/>
      <c r="D101" s="14"/>
      <c r="E101" s="14"/>
      <c r="F101" s="14"/>
      <c r="G101" s="26">
        <f>IF(AND(E101&lt;&gt;"",F101&lt;&gt;""),MAX(1,F101-E101),"")</f>
      </c>
      <c r="H101" s="14"/>
      <c r="I101" s="14"/>
      <c r="J101" s="14"/>
      <c r="K101" s="14"/>
      <c r="L101" s="27">
        <f>IF(H101="","",H101+I101-J101-K101)</f>
      </c>
      <c r="M101" s="14"/>
    </row>
    <row r="102" ht="20" customHeight="1" spans="2:13" x14ac:dyDescent="0.25">
      <c r="B102" s="11"/>
      <c r="C102" s="11"/>
      <c r="D102" s="12"/>
      <c r="E102" s="12"/>
      <c r="F102" s="12"/>
      <c r="G102" s="29">
        <f>IF(AND(E102&lt;&gt;"",F102&lt;&gt;""),MAX(1,F102-E102),"")</f>
      </c>
      <c r="H102" s="12"/>
      <c r="I102" s="12"/>
      <c r="J102" s="12"/>
      <c r="K102" s="12"/>
      <c r="L102" s="30">
        <f>IF(H102="","",H102+I102-J102-K102)</f>
      </c>
      <c r="M102" s="12"/>
    </row>
    <row r="103" ht="20" customHeight="1" spans="2:13" x14ac:dyDescent="0.25">
      <c r="B103" s="13"/>
      <c r="C103" s="13"/>
      <c r="D103" s="14"/>
      <c r="E103" s="14"/>
      <c r="F103" s="14"/>
      <c r="G103" s="26">
        <f>IF(AND(E103&lt;&gt;"",F103&lt;&gt;""),MAX(1,F103-E103),"")</f>
      </c>
      <c r="H103" s="14"/>
      <c r="I103" s="14"/>
      <c r="J103" s="14"/>
      <c r="K103" s="14"/>
      <c r="L103" s="27">
        <f>IF(H103="","",H103+I103-J103-K103)</f>
      </c>
      <c r="M103" s="14"/>
    </row>
    <row r="104" ht="20" customHeight="1" spans="2:13" x14ac:dyDescent="0.25">
      <c r="B104" s="11"/>
      <c r="C104" s="11"/>
      <c r="D104" s="12"/>
      <c r="E104" s="12"/>
      <c r="F104" s="12"/>
      <c r="G104" s="29">
        <f>IF(AND(E104&lt;&gt;"",F104&lt;&gt;""),MAX(1,F104-E104),"")</f>
      </c>
      <c r="H104" s="12"/>
      <c r="I104" s="12"/>
      <c r="J104" s="12"/>
      <c r="K104" s="12"/>
      <c r="L104" s="30">
        <f>IF(H104="","",H104+I104-J104-K104)</f>
      </c>
      <c r="M104" s="12"/>
    </row>
    <row r="105" ht="20" customHeight="1" spans="2:13" x14ac:dyDescent="0.25">
      <c r="B105" s="13"/>
      <c r="C105" s="13"/>
      <c r="D105" s="14"/>
      <c r="E105" s="14"/>
      <c r="F105" s="14"/>
      <c r="G105" s="26">
        <f>IF(AND(E105&lt;&gt;"",F105&lt;&gt;""),MAX(1,F105-E105),"")</f>
      </c>
      <c r="H105" s="14"/>
      <c r="I105" s="14"/>
      <c r="J105" s="14"/>
      <c r="K105" s="14"/>
      <c r="L105" s="27">
        <f>IF(H105="","",H105+I105-J105-K105)</f>
      </c>
      <c r="M105" s="14"/>
    </row>
    <row r="106" ht="20" customHeight="1" spans="2:13" x14ac:dyDescent="0.25">
      <c r="B106" s="11"/>
      <c r="C106" s="11"/>
      <c r="D106" s="12"/>
      <c r="E106" s="12"/>
      <c r="F106" s="12"/>
      <c r="G106" s="29">
        <f>IF(AND(E106&lt;&gt;"",F106&lt;&gt;""),MAX(1,F106-E106),"")</f>
      </c>
      <c r="H106" s="12"/>
      <c r="I106" s="12"/>
      <c r="J106" s="12"/>
      <c r="K106" s="12"/>
      <c r="L106" s="30">
        <f>IF(H106="","",H106+I106-J106-K106)</f>
      </c>
      <c r="M106" s="12"/>
    </row>
    <row r="107" ht="20" customHeight="1" spans="2:13" x14ac:dyDescent="0.25">
      <c r="B107" s="13"/>
      <c r="C107" s="13"/>
      <c r="D107" s="14"/>
      <c r="E107" s="14"/>
      <c r="F107" s="14"/>
      <c r="G107" s="26">
        <f>IF(AND(E107&lt;&gt;"",F107&lt;&gt;""),MAX(1,F107-E107),"")</f>
      </c>
      <c r="H107" s="14"/>
      <c r="I107" s="14"/>
      <c r="J107" s="14"/>
      <c r="K107" s="14"/>
      <c r="L107" s="27">
        <f>IF(H107="","",H107+I107-J107-K107)</f>
      </c>
      <c r="M107" s="14"/>
    </row>
    <row r="108" ht="20" customHeight="1" spans="2:13" x14ac:dyDescent="0.25">
      <c r="B108" s="11"/>
      <c r="C108" s="11"/>
      <c r="D108" s="12"/>
      <c r="E108" s="12"/>
      <c r="F108" s="12"/>
      <c r="G108" s="29">
        <f>IF(AND(E108&lt;&gt;"",F108&lt;&gt;""),MAX(1,F108-E108),"")</f>
      </c>
      <c r="H108" s="12"/>
      <c r="I108" s="12"/>
      <c r="J108" s="12"/>
      <c r="K108" s="12"/>
      <c r="L108" s="30">
        <f>IF(H108="","",H108+I108-J108-K108)</f>
      </c>
      <c r="M108" s="12"/>
    </row>
    <row r="109" ht="20" customHeight="1" spans="2:13" x14ac:dyDescent="0.25">
      <c r="B109" s="13"/>
      <c r="C109" s="13"/>
      <c r="D109" s="14"/>
      <c r="E109" s="14"/>
      <c r="F109" s="14"/>
      <c r="G109" s="26">
        <f>IF(AND(E109&lt;&gt;"",F109&lt;&gt;""),MAX(1,F109-E109),"")</f>
      </c>
      <c r="H109" s="14"/>
      <c r="I109" s="14"/>
      <c r="J109" s="14"/>
      <c r="K109" s="14"/>
      <c r="L109" s="27">
        <f>IF(H109="","",H109+I109-J109-K109)</f>
      </c>
      <c r="M109" s="14"/>
    </row>
    <row r="110" ht="20" customHeight="1" spans="2:13" x14ac:dyDescent="0.25">
      <c r="B110" s="11"/>
      <c r="C110" s="11"/>
      <c r="D110" s="12"/>
      <c r="E110" s="12"/>
      <c r="F110" s="12"/>
      <c r="G110" s="29">
        <f>IF(AND(E110&lt;&gt;"",F110&lt;&gt;""),MAX(1,F110-E110),"")</f>
      </c>
      <c r="H110" s="12"/>
      <c r="I110" s="12"/>
      <c r="J110" s="12"/>
      <c r="K110" s="12"/>
      <c r="L110" s="30">
        <f>IF(H110="","",H110+I110-J110-K110)</f>
      </c>
      <c r="M110" s="12"/>
    </row>
    <row r="111" ht="20" customHeight="1" spans="2:13" x14ac:dyDescent="0.25">
      <c r="B111" s="13"/>
      <c r="C111" s="13"/>
      <c r="D111" s="14"/>
      <c r="E111" s="14"/>
      <c r="F111" s="14"/>
      <c r="G111" s="26">
        <f>IF(AND(E111&lt;&gt;"",F111&lt;&gt;""),MAX(1,F111-E111),"")</f>
      </c>
      <c r="H111" s="14"/>
      <c r="I111" s="14"/>
      <c r="J111" s="14"/>
      <c r="K111" s="14"/>
      <c r="L111" s="27">
        <f>IF(H111="","",H111+I111-J111-K111)</f>
      </c>
      <c r="M111" s="14"/>
    </row>
    <row r="112" ht="20" customHeight="1" spans="2:13" x14ac:dyDescent="0.25">
      <c r="B112" s="11"/>
      <c r="C112" s="11"/>
      <c r="D112" s="12"/>
      <c r="E112" s="12"/>
      <c r="F112" s="12"/>
      <c r="G112" s="29">
        <f>IF(AND(E112&lt;&gt;"",F112&lt;&gt;""),MAX(1,F112-E112),"")</f>
      </c>
      <c r="H112" s="12"/>
      <c r="I112" s="12"/>
      <c r="J112" s="12"/>
      <c r="K112" s="12"/>
      <c r="L112" s="30">
        <f>IF(H112="","",H112+I112-J112-K112)</f>
      </c>
      <c r="M112" s="12"/>
    </row>
    <row r="113" ht="20" customHeight="1" spans="2:13" x14ac:dyDescent="0.25">
      <c r="B113" s="13"/>
      <c r="C113" s="13"/>
      <c r="D113" s="14"/>
      <c r="E113" s="14"/>
      <c r="F113" s="14"/>
      <c r="G113" s="26">
        <f>IF(AND(E113&lt;&gt;"",F113&lt;&gt;""),MAX(1,F113-E113),"")</f>
      </c>
      <c r="H113" s="14"/>
      <c r="I113" s="14"/>
      <c r="J113" s="14"/>
      <c r="K113" s="14"/>
      <c r="L113" s="27">
        <f>IF(H113="","",H113+I113-J113-K113)</f>
      </c>
      <c r="M113" s="14"/>
    </row>
    <row r="114" ht="20" customHeight="1" spans="2:13" x14ac:dyDescent="0.25">
      <c r="B114" s="11"/>
      <c r="C114" s="11"/>
      <c r="D114" s="12"/>
      <c r="E114" s="12"/>
      <c r="F114" s="12"/>
      <c r="G114" s="29">
        <f>IF(AND(E114&lt;&gt;"",F114&lt;&gt;""),MAX(1,F114-E114),"")</f>
      </c>
      <c r="H114" s="12"/>
      <c r="I114" s="12"/>
      <c r="J114" s="12"/>
      <c r="K114" s="12"/>
      <c r="L114" s="30">
        <f>IF(H114="","",H114+I114-J114-K114)</f>
      </c>
      <c r="M114" s="12"/>
    </row>
    <row r="115" ht="20" customHeight="1" spans="2:13" x14ac:dyDescent="0.25">
      <c r="B115" s="13"/>
      <c r="C115" s="13"/>
      <c r="D115" s="14"/>
      <c r="E115" s="14"/>
      <c r="F115" s="14"/>
      <c r="G115" s="26">
        <f>IF(AND(E115&lt;&gt;"",F115&lt;&gt;""),MAX(1,F115-E115),"")</f>
      </c>
      <c r="H115" s="14"/>
      <c r="I115" s="14"/>
      <c r="J115" s="14"/>
      <c r="K115" s="14"/>
      <c r="L115" s="27">
        <f>IF(H115="","",H115+I115-J115-K115)</f>
      </c>
      <c r="M115" s="14"/>
    </row>
    <row r="116" ht="20" customHeight="1" spans="2:13" x14ac:dyDescent="0.25">
      <c r="B116" s="11"/>
      <c r="C116" s="11"/>
      <c r="D116" s="12"/>
      <c r="E116" s="12"/>
      <c r="F116" s="12"/>
      <c r="G116" s="29">
        <f>IF(AND(E116&lt;&gt;"",F116&lt;&gt;""),MAX(1,F116-E116),"")</f>
      </c>
      <c r="H116" s="12"/>
      <c r="I116" s="12"/>
      <c r="J116" s="12"/>
      <c r="K116" s="12"/>
      <c r="L116" s="30">
        <f>IF(H116="","",H116+I116-J116-K116)</f>
      </c>
      <c r="M116" s="12"/>
    </row>
    <row r="117" ht="20" customHeight="1" spans="2:13" x14ac:dyDescent="0.25">
      <c r="B117" s="13"/>
      <c r="C117" s="13"/>
      <c r="D117" s="14"/>
      <c r="E117" s="14"/>
      <c r="F117" s="14"/>
      <c r="G117" s="26">
        <f>IF(AND(E117&lt;&gt;"",F117&lt;&gt;""),MAX(1,F117-E117),"")</f>
      </c>
      <c r="H117" s="14"/>
      <c r="I117" s="14"/>
      <c r="J117" s="14"/>
      <c r="K117" s="14"/>
      <c r="L117" s="27">
        <f>IF(H117="","",H117+I117-J117-K117)</f>
      </c>
      <c r="M117" s="14"/>
    </row>
    <row r="118" ht="20" customHeight="1" spans="2:13" x14ac:dyDescent="0.25">
      <c r="B118" s="11"/>
      <c r="C118" s="11"/>
      <c r="D118" s="12"/>
      <c r="E118" s="12"/>
      <c r="F118" s="12"/>
      <c r="G118" s="29">
        <f>IF(AND(E118&lt;&gt;"",F118&lt;&gt;""),MAX(1,F118-E118),"")</f>
      </c>
      <c r="H118" s="12"/>
      <c r="I118" s="12"/>
      <c r="J118" s="12"/>
      <c r="K118" s="12"/>
      <c r="L118" s="30">
        <f>IF(H118="","",H118+I118-J118-K118)</f>
      </c>
      <c r="M118" s="12"/>
    </row>
    <row r="119" ht="20" customHeight="1" spans="2:13" x14ac:dyDescent="0.25">
      <c r="B119" s="13"/>
      <c r="C119" s="13"/>
      <c r="D119" s="14"/>
      <c r="E119" s="14"/>
      <c r="F119" s="14"/>
      <c r="G119" s="26">
        <f>IF(AND(E119&lt;&gt;"",F119&lt;&gt;""),MAX(1,F119-E119),"")</f>
      </c>
      <c r="H119" s="14"/>
      <c r="I119" s="14"/>
      <c r="J119" s="14"/>
      <c r="K119" s="14"/>
      <c r="L119" s="27">
        <f>IF(H119="","",H119+I119-J119-K119)</f>
      </c>
      <c r="M119" s="14"/>
    </row>
    <row r="120" ht="20" customHeight="1" spans="2:13" x14ac:dyDescent="0.25">
      <c r="B120" s="11"/>
      <c r="C120" s="11"/>
      <c r="D120" s="12"/>
      <c r="E120" s="12"/>
      <c r="F120" s="12"/>
      <c r="G120" s="29">
        <f>IF(AND(E120&lt;&gt;"",F120&lt;&gt;""),MAX(1,F120-E120),"")</f>
      </c>
      <c r="H120" s="12"/>
      <c r="I120" s="12"/>
      <c r="J120" s="12"/>
      <c r="K120" s="12"/>
      <c r="L120" s="30">
        <f>IF(H120="","",H120+I120-J120-K120)</f>
      </c>
      <c r="M120" s="12"/>
    </row>
    <row r="121" ht="20" customHeight="1" spans="2:13" x14ac:dyDescent="0.25">
      <c r="B121" s="13"/>
      <c r="C121" s="13"/>
      <c r="D121" s="14"/>
      <c r="E121" s="14"/>
      <c r="F121" s="14"/>
      <c r="G121" s="26">
        <f>IF(AND(E121&lt;&gt;"",F121&lt;&gt;""),MAX(1,F121-E121),"")</f>
      </c>
      <c r="H121" s="14"/>
      <c r="I121" s="14"/>
      <c r="J121" s="14"/>
      <c r="K121" s="14"/>
      <c r="L121" s="27">
        <f>IF(H121="","",H121+I121-J121-K121)</f>
      </c>
      <c r="M121" s="14"/>
    </row>
    <row r="122" ht="20" customHeight="1" spans="2:13" x14ac:dyDescent="0.25">
      <c r="B122" s="11"/>
      <c r="C122" s="11"/>
      <c r="D122" s="12"/>
      <c r="E122" s="12"/>
      <c r="F122" s="12"/>
      <c r="G122" s="29">
        <f>IF(AND(E122&lt;&gt;"",F122&lt;&gt;""),MAX(1,F122-E122),"")</f>
      </c>
      <c r="H122" s="12"/>
      <c r="I122" s="12"/>
      <c r="J122" s="12"/>
      <c r="K122" s="12"/>
      <c r="L122" s="30">
        <f>IF(H122="","",H122+I122-J122-K122)</f>
      </c>
      <c r="M122" s="12"/>
    </row>
    <row r="123" ht="20" customHeight="1" spans="2:13" x14ac:dyDescent="0.25">
      <c r="B123" s="13"/>
      <c r="C123" s="13"/>
      <c r="D123" s="14"/>
      <c r="E123" s="14"/>
      <c r="F123" s="14"/>
      <c r="G123" s="26">
        <f>IF(AND(E123&lt;&gt;"",F123&lt;&gt;""),MAX(1,F123-E123),"")</f>
      </c>
      <c r="H123" s="14"/>
      <c r="I123" s="14"/>
      <c r="J123" s="14"/>
      <c r="K123" s="14"/>
      <c r="L123" s="27">
        <f>IF(H123="","",H123+I123-J123-K123)</f>
      </c>
      <c r="M123" s="14"/>
    </row>
    <row r="124" ht="20" customHeight="1" spans="2:13" x14ac:dyDescent="0.25">
      <c r="B124" s="11"/>
      <c r="C124" s="11"/>
      <c r="D124" s="12"/>
      <c r="E124" s="12"/>
      <c r="F124" s="12"/>
      <c r="G124" s="29">
        <f>IF(AND(E124&lt;&gt;"",F124&lt;&gt;""),MAX(1,F124-E124),"")</f>
      </c>
      <c r="H124" s="12"/>
      <c r="I124" s="12"/>
      <c r="J124" s="12"/>
      <c r="K124" s="12"/>
      <c r="L124" s="30">
        <f>IF(H124="","",H124+I124-J124-K124)</f>
      </c>
      <c r="M124" s="12"/>
    </row>
    <row r="125" ht="20" customHeight="1" spans="2:13" x14ac:dyDescent="0.25">
      <c r="B125" s="13"/>
      <c r="C125" s="13"/>
      <c r="D125" s="14"/>
      <c r="E125" s="14"/>
      <c r="F125" s="14"/>
      <c r="G125" s="26">
        <f>IF(AND(E125&lt;&gt;"",F125&lt;&gt;""),MAX(1,F125-E125),"")</f>
      </c>
      <c r="H125" s="14"/>
      <c r="I125" s="14"/>
      <c r="J125" s="14"/>
      <c r="K125" s="14"/>
      <c r="L125" s="27">
        <f>IF(H125="","",H125+I125-J125-K125)</f>
      </c>
      <c r="M125" s="14"/>
    </row>
    <row r="126" ht="20" customHeight="1" spans="2:13" x14ac:dyDescent="0.25">
      <c r="B126" s="11"/>
      <c r="C126" s="11"/>
      <c r="D126" s="12"/>
      <c r="E126" s="12"/>
      <c r="F126" s="12"/>
      <c r="G126" s="29">
        <f>IF(AND(E126&lt;&gt;"",F126&lt;&gt;""),MAX(1,F126-E126),"")</f>
      </c>
      <c r="H126" s="12"/>
      <c r="I126" s="12"/>
      <c r="J126" s="12"/>
      <c r="K126" s="12"/>
      <c r="L126" s="30">
        <f>IF(H126="","",H126+I126-J126-K126)</f>
      </c>
      <c r="M126" s="12"/>
    </row>
    <row r="127" ht="20" customHeight="1" spans="2:13" x14ac:dyDescent="0.25">
      <c r="B127" s="13"/>
      <c r="C127" s="13"/>
      <c r="D127" s="14"/>
      <c r="E127" s="14"/>
      <c r="F127" s="14"/>
      <c r="G127" s="26">
        <f>IF(AND(E127&lt;&gt;"",F127&lt;&gt;""),MAX(1,F127-E127),"")</f>
      </c>
      <c r="H127" s="14"/>
      <c r="I127" s="14"/>
      <c r="J127" s="14"/>
      <c r="K127" s="14"/>
      <c r="L127" s="27">
        <f>IF(H127="","",H127+I127-J127-K127)</f>
      </c>
      <c r="M127" s="14"/>
    </row>
    <row r="128" ht="20" customHeight="1" spans="2:13" x14ac:dyDescent="0.25">
      <c r="B128" s="11"/>
      <c r="C128" s="11"/>
      <c r="D128" s="12"/>
      <c r="E128" s="12"/>
      <c r="F128" s="12"/>
      <c r="G128" s="29">
        <f>IF(AND(E128&lt;&gt;"",F128&lt;&gt;""),MAX(1,F128-E128),"")</f>
      </c>
      <c r="H128" s="12"/>
      <c r="I128" s="12"/>
      <c r="J128" s="12"/>
      <c r="K128" s="12"/>
      <c r="L128" s="30">
        <f>IF(H128="","",H128+I128-J128-K128)</f>
      </c>
      <c r="M128" s="12"/>
    </row>
    <row r="129" ht="20" customHeight="1" spans="2:13" x14ac:dyDescent="0.25">
      <c r="B129" s="13"/>
      <c r="C129" s="13"/>
      <c r="D129" s="14"/>
      <c r="E129" s="14"/>
      <c r="F129" s="14"/>
      <c r="G129" s="26">
        <f>IF(AND(E129&lt;&gt;"",F129&lt;&gt;""),MAX(1,F129-E129),"")</f>
      </c>
      <c r="H129" s="14"/>
      <c r="I129" s="14"/>
      <c r="J129" s="14"/>
      <c r="K129" s="14"/>
      <c r="L129" s="27">
        <f>IF(H129="","",H129+I129-J129-K129)</f>
      </c>
      <c r="M129" s="14"/>
    </row>
    <row r="130" ht="20" customHeight="1" spans="2:13" x14ac:dyDescent="0.25">
      <c r="B130" s="11"/>
      <c r="C130" s="11"/>
      <c r="D130" s="12"/>
      <c r="E130" s="12"/>
      <c r="F130" s="12"/>
      <c r="G130" s="29">
        <f>IF(AND(E130&lt;&gt;"",F130&lt;&gt;""),MAX(1,F130-E130),"")</f>
      </c>
      <c r="H130" s="12"/>
      <c r="I130" s="12"/>
      <c r="J130" s="12"/>
      <c r="K130" s="12"/>
      <c r="L130" s="30">
        <f>IF(H130="","",H130+I130-J130-K130)</f>
      </c>
      <c r="M130" s="12"/>
    </row>
    <row r="131" ht="20" customHeight="1" spans="2:13" x14ac:dyDescent="0.25">
      <c r="B131" s="13"/>
      <c r="C131" s="13"/>
      <c r="D131" s="14"/>
      <c r="E131" s="14"/>
      <c r="F131" s="14"/>
      <c r="G131" s="26">
        <f>IF(AND(E131&lt;&gt;"",F131&lt;&gt;""),MAX(1,F131-E131),"")</f>
      </c>
      <c r="H131" s="14"/>
      <c r="I131" s="14"/>
      <c r="J131" s="14"/>
      <c r="K131" s="14"/>
      <c r="L131" s="27">
        <f>IF(H131="","",H131+I131-J131-K131)</f>
      </c>
      <c r="M131" s="14"/>
    </row>
    <row r="132" ht="20" customHeight="1" spans="2:13" x14ac:dyDescent="0.25">
      <c r="B132" s="11"/>
      <c r="C132" s="11"/>
      <c r="D132" s="12"/>
      <c r="E132" s="12"/>
      <c r="F132" s="12"/>
      <c r="G132" s="29">
        <f>IF(AND(E132&lt;&gt;"",F132&lt;&gt;""),MAX(1,F132-E132),"")</f>
      </c>
      <c r="H132" s="12"/>
      <c r="I132" s="12"/>
      <c r="J132" s="12"/>
      <c r="K132" s="12"/>
      <c r="L132" s="30">
        <f>IF(H132="","",H132+I132-J132-K132)</f>
      </c>
      <c r="M132" s="12"/>
    </row>
    <row r="133" ht="20" customHeight="1" spans="2:13" x14ac:dyDescent="0.25">
      <c r="B133" s="13"/>
      <c r="C133" s="13"/>
      <c r="D133" s="14"/>
      <c r="E133" s="14"/>
      <c r="F133" s="14"/>
      <c r="G133" s="26">
        <f>IF(AND(E133&lt;&gt;"",F133&lt;&gt;""),MAX(1,F133-E133),"")</f>
      </c>
      <c r="H133" s="14"/>
      <c r="I133" s="14"/>
      <c r="J133" s="14"/>
      <c r="K133" s="14"/>
      <c r="L133" s="27">
        <f>IF(H133="","",H133+I133-J133-K133)</f>
      </c>
      <c r="M133" s="14"/>
    </row>
    <row r="134" ht="20" customHeight="1" spans="2:13" x14ac:dyDescent="0.25">
      <c r="B134" s="11"/>
      <c r="C134" s="11"/>
      <c r="D134" s="12"/>
      <c r="E134" s="12"/>
      <c r="F134" s="12"/>
      <c r="G134" s="29">
        <f>IF(AND(E134&lt;&gt;"",F134&lt;&gt;""),MAX(1,F134-E134),"")</f>
      </c>
      <c r="H134" s="12"/>
      <c r="I134" s="12"/>
      <c r="J134" s="12"/>
      <c r="K134" s="12"/>
      <c r="L134" s="30">
        <f>IF(H134="","",H134+I134-J134-K134)</f>
      </c>
      <c r="M134" s="12"/>
    </row>
    <row r="135" ht="20" customHeight="1" spans="2:13" x14ac:dyDescent="0.25">
      <c r="B135" s="13"/>
      <c r="C135" s="13"/>
      <c r="D135" s="14"/>
      <c r="E135" s="14"/>
      <c r="F135" s="14"/>
      <c r="G135" s="26">
        <f>IF(AND(E135&lt;&gt;"",F135&lt;&gt;""),MAX(1,F135-E135),"")</f>
      </c>
      <c r="H135" s="14"/>
      <c r="I135" s="14"/>
      <c r="J135" s="14"/>
      <c r="K135" s="14"/>
      <c r="L135" s="27">
        <f>IF(H135="","",H135+I135-J135-K135)</f>
      </c>
      <c r="M135" s="14"/>
    </row>
    <row r="136" ht="20" customHeight="1" spans="2:13" x14ac:dyDescent="0.25">
      <c r="B136" s="11"/>
      <c r="C136" s="11"/>
      <c r="D136" s="12"/>
      <c r="E136" s="12"/>
      <c r="F136" s="12"/>
      <c r="G136" s="29">
        <f>IF(AND(E136&lt;&gt;"",F136&lt;&gt;""),MAX(1,F136-E136),"")</f>
      </c>
      <c r="H136" s="12"/>
      <c r="I136" s="12"/>
      <c r="J136" s="12"/>
      <c r="K136" s="12"/>
      <c r="L136" s="30">
        <f>IF(H136="","",H136+I136-J136-K136)</f>
      </c>
      <c r="M136" s="12"/>
    </row>
    <row r="137" ht="20" customHeight="1" spans="2:13" x14ac:dyDescent="0.25">
      <c r="B137" s="13"/>
      <c r="C137" s="13"/>
      <c r="D137" s="14"/>
      <c r="E137" s="14"/>
      <c r="F137" s="14"/>
      <c r="G137" s="26">
        <f>IF(AND(E137&lt;&gt;"",F137&lt;&gt;""),MAX(1,F137-E137),"")</f>
      </c>
      <c r="H137" s="14"/>
      <c r="I137" s="14"/>
      <c r="J137" s="14"/>
      <c r="K137" s="14"/>
      <c r="L137" s="27">
        <f>IF(H137="","",H137+I137-J137-K137)</f>
      </c>
      <c r="M137" s="14"/>
    </row>
    <row r="138" ht="20" customHeight="1" spans="2:13" x14ac:dyDescent="0.25">
      <c r="B138" s="11"/>
      <c r="C138" s="11"/>
      <c r="D138" s="12"/>
      <c r="E138" s="12"/>
      <c r="F138" s="12"/>
      <c r="G138" s="29">
        <f>IF(AND(E138&lt;&gt;"",F138&lt;&gt;""),MAX(1,F138-E138),"")</f>
      </c>
      <c r="H138" s="12"/>
      <c r="I138" s="12"/>
      <c r="J138" s="12"/>
      <c r="K138" s="12"/>
      <c r="L138" s="30">
        <f>IF(H138="","",H138+I138-J138-K138)</f>
      </c>
      <c r="M138" s="12"/>
    </row>
    <row r="139" ht="20" customHeight="1" spans="2:13" x14ac:dyDescent="0.25">
      <c r="B139" s="13"/>
      <c r="C139" s="13"/>
      <c r="D139" s="14"/>
      <c r="E139" s="14"/>
      <c r="F139" s="14"/>
      <c r="G139" s="26">
        <f>IF(AND(E139&lt;&gt;"",F139&lt;&gt;""),MAX(1,F139-E139),"")</f>
      </c>
      <c r="H139" s="14"/>
      <c r="I139" s="14"/>
      <c r="J139" s="14"/>
      <c r="K139" s="14"/>
      <c r="L139" s="27">
        <f>IF(H139="","",H139+I139-J139-K139)</f>
      </c>
      <c r="M139" s="14"/>
    </row>
    <row r="140" ht="20" customHeight="1" spans="2:13" x14ac:dyDescent="0.25">
      <c r="B140" s="11"/>
      <c r="C140" s="11"/>
      <c r="D140" s="12"/>
      <c r="E140" s="12"/>
      <c r="F140" s="12"/>
      <c r="G140" s="29">
        <f>IF(AND(E140&lt;&gt;"",F140&lt;&gt;""),MAX(1,F140-E140),"")</f>
      </c>
      <c r="H140" s="12"/>
      <c r="I140" s="12"/>
      <c r="J140" s="12"/>
      <c r="K140" s="12"/>
      <c r="L140" s="30">
        <f>IF(H140="","",H140+I140-J140-K140)</f>
      </c>
      <c r="M140" s="12"/>
    </row>
    <row r="141" ht="20" customHeight="1" spans="2:13" x14ac:dyDescent="0.25">
      <c r="B141" s="13"/>
      <c r="C141" s="13"/>
      <c r="D141" s="14"/>
      <c r="E141" s="14"/>
      <c r="F141" s="14"/>
      <c r="G141" s="26">
        <f>IF(AND(E141&lt;&gt;"",F141&lt;&gt;""),MAX(1,F141-E141),"")</f>
      </c>
      <c r="H141" s="14"/>
      <c r="I141" s="14"/>
      <c r="J141" s="14"/>
      <c r="K141" s="14"/>
      <c r="L141" s="27">
        <f>IF(H141="","",H141+I141-J141-K141)</f>
      </c>
      <c r="M141" s="14"/>
    </row>
    <row r="142" ht="20" customHeight="1" spans="2:13" x14ac:dyDescent="0.25">
      <c r="B142" s="11"/>
      <c r="C142" s="11"/>
      <c r="D142" s="12"/>
      <c r="E142" s="12"/>
      <c r="F142" s="12"/>
      <c r="G142" s="29">
        <f>IF(AND(E142&lt;&gt;"",F142&lt;&gt;""),MAX(1,F142-E142),"")</f>
      </c>
      <c r="H142" s="12"/>
      <c r="I142" s="12"/>
      <c r="J142" s="12"/>
      <c r="K142" s="12"/>
      <c r="L142" s="30">
        <f>IF(H142="","",H142+I142-J142-K142)</f>
      </c>
      <c r="M142" s="12"/>
    </row>
    <row r="143" ht="20" customHeight="1" spans="2:13" x14ac:dyDescent="0.25">
      <c r="B143" s="13"/>
      <c r="C143" s="13"/>
      <c r="D143" s="14"/>
      <c r="E143" s="14"/>
      <c r="F143" s="14"/>
      <c r="G143" s="26">
        <f>IF(AND(E143&lt;&gt;"",F143&lt;&gt;""),MAX(1,F143-E143),"")</f>
      </c>
      <c r="H143" s="14"/>
      <c r="I143" s="14"/>
      <c r="J143" s="14"/>
      <c r="K143" s="14"/>
      <c r="L143" s="27">
        <f>IF(H143="","",H143+I143-J143-K143)</f>
      </c>
      <c r="M143" s="14"/>
    </row>
    <row r="144" ht="20" customHeight="1" spans="2:13" x14ac:dyDescent="0.25">
      <c r="B144" s="11"/>
      <c r="C144" s="11"/>
      <c r="D144" s="12"/>
      <c r="E144" s="12"/>
      <c r="F144" s="12"/>
      <c r="G144" s="29">
        <f>IF(AND(E144&lt;&gt;"",F144&lt;&gt;""),MAX(1,F144-E144),"")</f>
      </c>
      <c r="H144" s="12"/>
      <c r="I144" s="12"/>
      <c r="J144" s="12"/>
      <c r="K144" s="12"/>
      <c r="L144" s="30">
        <f>IF(H144="","",H144+I144-J144-K144)</f>
      </c>
      <c r="M144" s="12"/>
    </row>
    <row r="145" ht="20" customHeight="1" spans="2:13" x14ac:dyDescent="0.25">
      <c r="B145" s="13"/>
      <c r="C145" s="13"/>
      <c r="D145" s="14"/>
      <c r="E145" s="14"/>
      <c r="F145" s="14"/>
      <c r="G145" s="26">
        <f>IF(AND(E145&lt;&gt;"",F145&lt;&gt;""),MAX(1,F145-E145),"")</f>
      </c>
      <c r="H145" s="14"/>
      <c r="I145" s="14"/>
      <c r="J145" s="14"/>
      <c r="K145" s="14"/>
      <c r="L145" s="27">
        <f>IF(H145="","",H145+I145-J145-K145)</f>
      </c>
      <c r="M145" s="14"/>
    </row>
    <row r="146" ht="20" customHeight="1" spans="2:13" x14ac:dyDescent="0.25">
      <c r="B146" s="11"/>
      <c r="C146" s="11"/>
      <c r="D146" s="12"/>
      <c r="E146" s="12"/>
      <c r="F146" s="12"/>
      <c r="G146" s="29">
        <f>IF(AND(E146&lt;&gt;"",F146&lt;&gt;""),MAX(1,F146-E146),"")</f>
      </c>
      <c r="H146" s="12"/>
      <c r="I146" s="12"/>
      <c r="J146" s="12"/>
      <c r="K146" s="12"/>
      <c r="L146" s="30">
        <f>IF(H146="","",H146+I146-J146-K146)</f>
      </c>
      <c r="M146" s="12"/>
    </row>
    <row r="147" ht="20" customHeight="1" spans="2:13" x14ac:dyDescent="0.25">
      <c r="B147" s="13"/>
      <c r="C147" s="13"/>
      <c r="D147" s="14"/>
      <c r="E147" s="14"/>
      <c r="F147" s="14"/>
      <c r="G147" s="26">
        <f>IF(AND(E147&lt;&gt;"",F147&lt;&gt;""),MAX(1,F147-E147),"")</f>
      </c>
      <c r="H147" s="14"/>
      <c r="I147" s="14"/>
      <c r="J147" s="14"/>
      <c r="K147" s="14"/>
      <c r="L147" s="27">
        <f>IF(H147="","",H147+I147-J147-K147)</f>
      </c>
      <c r="M147" s="14"/>
    </row>
    <row r="148" ht="20" customHeight="1" spans="2:13" x14ac:dyDescent="0.25">
      <c r="B148" s="11"/>
      <c r="C148" s="11"/>
      <c r="D148" s="12"/>
      <c r="E148" s="12"/>
      <c r="F148" s="12"/>
      <c r="G148" s="29">
        <f>IF(AND(E148&lt;&gt;"",F148&lt;&gt;""),MAX(1,F148-E148),"")</f>
      </c>
      <c r="H148" s="12"/>
      <c r="I148" s="12"/>
      <c r="J148" s="12"/>
      <c r="K148" s="12"/>
      <c r="L148" s="30">
        <f>IF(H148="","",H148+I148-J148-K148)</f>
      </c>
      <c r="M148" s="12"/>
    </row>
    <row r="149" ht="20" customHeight="1" spans="2:13" x14ac:dyDescent="0.25">
      <c r="B149" s="13"/>
      <c r="C149" s="13"/>
      <c r="D149" s="14"/>
      <c r="E149" s="14"/>
      <c r="F149" s="14"/>
      <c r="G149" s="26">
        <f>IF(AND(E149&lt;&gt;"",F149&lt;&gt;""),MAX(1,F149-E149),"")</f>
      </c>
      <c r="H149" s="14"/>
      <c r="I149" s="14"/>
      <c r="J149" s="14"/>
      <c r="K149" s="14"/>
      <c r="L149" s="27">
        <f>IF(H149="","",H149+I149-J149-K149)</f>
      </c>
      <c r="M149" s="14"/>
    </row>
    <row r="150" ht="20" customHeight="1" spans="2:13" x14ac:dyDescent="0.25">
      <c r="B150" s="11"/>
      <c r="C150" s="11"/>
      <c r="D150" s="12"/>
      <c r="E150" s="12"/>
      <c r="F150" s="12"/>
      <c r="G150" s="29">
        <f>IF(AND(E150&lt;&gt;"",F150&lt;&gt;""),MAX(1,F150-E150),"")</f>
      </c>
      <c r="H150" s="12"/>
      <c r="I150" s="12"/>
      <c r="J150" s="12"/>
      <c r="K150" s="12"/>
      <c r="L150" s="30">
        <f>IF(H150="","",H150+I150-J150-K150)</f>
      </c>
      <c r="M150" s="12"/>
    </row>
    <row r="151" ht="20" customHeight="1" spans="2:13" x14ac:dyDescent="0.25">
      <c r="B151" s="13"/>
      <c r="C151" s="13"/>
      <c r="D151" s="14"/>
      <c r="E151" s="14"/>
      <c r="F151" s="14"/>
      <c r="G151" s="26">
        <f>IF(AND(E151&lt;&gt;"",F151&lt;&gt;""),MAX(1,F151-E151),"")</f>
      </c>
      <c r="H151" s="14"/>
      <c r="I151" s="14"/>
      <c r="J151" s="14"/>
      <c r="K151" s="14"/>
      <c r="L151" s="27">
        <f>IF(H151="","",H151+I151-J151-K151)</f>
      </c>
      <c r="M151" s="14"/>
    </row>
    <row r="152" ht="20" customHeight="1" spans="2:13" x14ac:dyDescent="0.25">
      <c r="B152" s="11"/>
      <c r="C152" s="11"/>
      <c r="D152" s="12"/>
      <c r="E152" s="12"/>
      <c r="F152" s="12"/>
      <c r="G152" s="29">
        <f>IF(AND(E152&lt;&gt;"",F152&lt;&gt;""),MAX(1,F152-E152),"")</f>
      </c>
      <c r="H152" s="12"/>
      <c r="I152" s="12"/>
      <c r="J152" s="12"/>
      <c r="K152" s="12"/>
      <c r="L152" s="30">
        <f>IF(H152="","",H152+I152-J152-K152)</f>
      </c>
      <c r="M152" s="12"/>
    </row>
    <row r="153" ht="20" customHeight="1" spans="2:13" x14ac:dyDescent="0.25">
      <c r="B153" s="13"/>
      <c r="C153" s="13"/>
      <c r="D153" s="14"/>
      <c r="E153" s="14"/>
      <c r="F153" s="14"/>
      <c r="G153" s="26">
        <f>IF(AND(E153&lt;&gt;"",F153&lt;&gt;""),MAX(1,F153-E153),"")</f>
      </c>
      <c r="H153" s="14"/>
      <c r="I153" s="14"/>
      <c r="J153" s="14"/>
      <c r="K153" s="14"/>
      <c r="L153" s="27">
        <f>IF(H153="","",H153+I153-J153-K153)</f>
      </c>
      <c r="M153" s="14"/>
    </row>
    <row r="154" ht="20" customHeight="1" spans="2:13" x14ac:dyDescent="0.25">
      <c r="B154" s="11"/>
      <c r="C154" s="11"/>
      <c r="D154" s="12"/>
      <c r="E154" s="12"/>
      <c r="F154" s="12"/>
      <c r="G154" s="29">
        <f>IF(AND(E154&lt;&gt;"",F154&lt;&gt;""),MAX(1,F154-E154),"")</f>
      </c>
      <c r="H154" s="12"/>
      <c r="I154" s="12"/>
      <c r="J154" s="12"/>
      <c r="K154" s="12"/>
      <c r="L154" s="30">
        <f>IF(H154="","",H154+I154-J154-K154)</f>
      </c>
      <c r="M154" s="12"/>
    </row>
    <row r="155" ht="20" customHeight="1" spans="2:13" x14ac:dyDescent="0.25">
      <c r="B155" s="13"/>
      <c r="C155" s="13"/>
      <c r="D155" s="14"/>
      <c r="E155" s="14"/>
      <c r="F155" s="14"/>
      <c r="G155" s="26">
        <f>IF(AND(E155&lt;&gt;"",F155&lt;&gt;""),MAX(1,F155-E155),"")</f>
      </c>
      <c r="H155" s="14"/>
      <c r="I155" s="14"/>
      <c r="J155" s="14"/>
      <c r="K155" s="14"/>
      <c r="L155" s="27">
        <f>IF(H155="","",H155+I155-J155-K155)</f>
      </c>
      <c r="M155" s="14"/>
    </row>
    <row r="156" ht="20" customHeight="1" spans="2:13" x14ac:dyDescent="0.25">
      <c r="B156" s="11"/>
      <c r="C156" s="11"/>
      <c r="D156" s="12"/>
      <c r="E156" s="12"/>
      <c r="F156" s="12"/>
      <c r="G156" s="29">
        <f>IF(AND(E156&lt;&gt;"",F156&lt;&gt;""),MAX(1,F156-E156),"")</f>
      </c>
      <c r="H156" s="12"/>
      <c r="I156" s="12"/>
      <c r="J156" s="12"/>
      <c r="K156" s="12"/>
      <c r="L156" s="30">
        <f>IF(H156="","",H156+I156-J156-K156)</f>
      </c>
      <c r="M156" s="12"/>
    </row>
    <row r="157" ht="20" customHeight="1" spans="2:13" x14ac:dyDescent="0.25">
      <c r="B157" s="13"/>
      <c r="C157" s="13"/>
      <c r="D157" s="14"/>
      <c r="E157" s="14"/>
      <c r="F157" s="14"/>
      <c r="G157" s="26">
        <f>IF(AND(E157&lt;&gt;"",F157&lt;&gt;""),MAX(1,F157-E157),"")</f>
      </c>
      <c r="H157" s="14"/>
      <c r="I157" s="14"/>
      <c r="J157" s="14"/>
      <c r="K157" s="14"/>
      <c r="L157" s="27">
        <f>IF(H157="","",H157+I157-J157-K157)</f>
      </c>
      <c r="M157" s="14"/>
    </row>
    <row r="158" ht="20" customHeight="1" spans="2:13" x14ac:dyDescent="0.25">
      <c r="B158" s="11"/>
      <c r="C158" s="11"/>
      <c r="D158" s="12"/>
      <c r="E158" s="12"/>
      <c r="F158" s="12"/>
      <c r="G158" s="29">
        <f>IF(AND(E158&lt;&gt;"",F158&lt;&gt;""),MAX(1,F158-E158),"")</f>
      </c>
      <c r="H158" s="12"/>
      <c r="I158" s="12"/>
      <c r="J158" s="12"/>
      <c r="K158" s="12"/>
      <c r="L158" s="30">
        <f>IF(H158="","",H158+I158-J158-K158)</f>
      </c>
      <c r="M158" s="12"/>
    </row>
    <row r="159" ht="20" customHeight="1" spans="2:13" x14ac:dyDescent="0.25">
      <c r="B159" s="13"/>
      <c r="C159" s="13"/>
      <c r="D159" s="14"/>
      <c r="E159" s="14"/>
      <c r="F159" s="14"/>
      <c r="G159" s="26">
        <f>IF(AND(E159&lt;&gt;"",F159&lt;&gt;""),MAX(1,F159-E159),"")</f>
      </c>
      <c r="H159" s="14"/>
      <c r="I159" s="14"/>
      <c r="J159" s="14"/>
      <c r="K159" s="14"/>
      <c r="L159" s="27">
        <f>IF(H159="","",H159+I159-J159-K159)</f>
      </c>
      <c r="M159" s="14"/>
    </row>
    <row r="160" ht="20" customHeight="1" spans="2:13" x14ac:dyDescent="0.25">
      <c r="B160" s="11"/>
      <c r="C160" s="11"/>
      <c r="D160" s="12"/>
      <c r="E160" s="12"/>
      <c r="F160" s="12"/>
      <c r="G160" s="29">
        <f>IF(AND(E160&lt;&gt;"",F160&lt;&gt;""),MAX(1,F160-E160),"")</f>
      </c>
      <c r="H160" s="12"/>
      <c r="I160" s="12"/>
      <c r="J160" s="12"/>
      <c r="K160" s="12"/>
      <c r="L160" s="30">
        <f>IF(H160="","",H160+I160-J160-K160)</f>
      </c>
      <c r="M160" s="12"/>
    </row>
    <row r="161" ht="20" customHeight="1" spans="2:13" x14ac:dyDescent="0.25">
      <c r="B161" s="13"/>
      <c r="C161" s="13"/>
      <c r="D161" s="14"/>
      <c r="E161" s="14"/>
      <c r="F161" s="14"/>
      <c r="G161" s="26">
        <f>IF(AND(E161&lt;&gt;"",F161&lt;&gt;""),MAX(1,F161-E161),"")</f>
      </c>
      <c r="H161" s="14"/>
      <c r="I161" s="14"/>
      <c r="J161" s="14"/>
      <c r="K161" s="14"/>
      <c r="L161" s="27">
        <f>IF(H161="","",H161+I161-J161-K161)</f>
      </c>
      <c r="M161" s="14"/>
    </row>
    <row r="162" ht="20" customHeight="1" spans="2:13" x14ac:dyDescent="0.25">
      <c r="B162" s="11"/>
      <c r="C162" s="11"/>
      <c r="D162" s="12"/>
      <c r="E162" s="12"/>
      <c r="F162" s="12"/>
      <c r="G162" s="29">
        <f>IF(AND(E162&lt;&gt;"",F162&lt;&gt;""),MAX(1,F162-E162),"")</f>
      </c>
      <c r="H162" s="12"/>
      <c r="I162" s="12"/>
      <c r="J162" s="12"/>
      <c r="K162" s="12"/>
      <c r="L162" s="30">
        <f>IF(H162="","",H162+I162-J162-K162)</f>
      </c>
      <c r="M162" s="12"/>
    </row>
    <row r="163" ht="20" customHeight="1" spans="2:13" x14ac:dyDescent="0.25">
      <c r="B163" s="13"/>
      <c r="C163" s="13"/>
      <c r="D163" s="14"/>
      <c r="E163" s="14"/>
      <c r="F163" s="14"/>
      <c r="G163" s="26">
        <f>IF(AND(E163&lt;&gt;"",F163&lt;&gt;""),MAX(1,F163-E163),"")</f>
      </c>
      <c r="H163" s="14"/>
      <c r="I163" s="14"/>
      <c r="J163" s="14"/>
      <c r="K163" s="14"/>
      <c r="L163" s="27">
        <f>IF(H163="","",H163+I163-J163-K163)</f>
      </c>
      <c r="M163" s="14"/>
    </row>
    <row r="164" ht="20" customHeight="1" spans="2:13" x14ac:dyDescent="0.25">
      <c r="B164" s="11"/>
      <c r="C164" s="11"/>
      <c r="D164" s="12"/>
      <c r="E164" s="12"/>
      <c r="F164" s="12"/>
      <c r="G164" s="29">
        <f>IF(AND(E164&lt;&gt;"",F164&lt;&gt;""),MAX(1,F164-E164),"")</f>
      </c>
      <c r="H164" s="12"/>
      <c r="I164" s="12"/>
      <c r="J164" s="12"/>
      <c r="K164" s="12"/>
      <c r="L164" s="30">
        <f>IF(H164="","",H164+I164-J164-K164)</f>
      </c>
      <c r="M164" s="12"/>
    </row>
    <row r="165" ht="20" customHeight="1" spans="2:13" x14ac:dyDescent="0.25">
      <c r="B165" s="13"/>
      <c r="C165" s="13"/>
      <c r="D165" s="14"/>
      <c r="E165" s="14"/>
      <c r="F165" s="14"/>
      <c r="G165" s="26">
        <f>IF(AND(E165&lt;&gt;"",F165&lt;&gt;""),MAX(1,F165-E165),"")</f>
      </c>
      <c r="H165" s="14"/>
      <c r="I165" s="14"/>
      <c r="J165" s="14"/>
      <c r="K165" s="14"/>
      <c r="L165" s="27">
        <f>IF(H165="","",H165+I165-J165-K165)</f>
      </c>
      <c r="M165" s="14"/>
    </row>
    <row r="166" ht="20" customHeight="1" spans="2:13" x14ac:dyDescent="0.25">
      <c r="B166" s="11"/>
      <c r="C166" s="11"/>
      <c r="D166" s="12"/>
      <c r="E166" s="12"/>
      <c r="F166" s="12"/>
      <c r="G166" s="29">
        <f>IF(AND(E166&lt;&gt;"",F166&lt;&gt;""),MAX(1,F166-E166),"")</f>
      </c>
      <c r="H166" s="12"/>
      <c r="I166" s="12"/>
      <c r="J166" s="12"/>
      <c r="K166" s="12"/>
      <c r="L166" s="30">
        <f>IF(H166="","",H166+I166-J166-K166)</f>
      </c>
      <c r="M166" s="12"/>
    </row>
    <row r="167" ht="20" customHeight="1" spans="2:13" x14ac:dyDescent="0.25">
      <c r="B167" s="13"/>
      <c r="C167" s="13"/>
      <c r="D167" s="14"/>
      <c r="E167" s="14"/>
      <c r="F167" s="14"/>
      <c r="G167" s="26">
        <f>IF(AND(E167&lt;&gt;"",F167&lt;&gt;""),MAX(1,F167-E167),"")</f>
      </c>
      <c r="H167" s="14"/>
      <c r="I167" s="14"/>
      <c r="J167" s="14"/>
      <c r="K167" s="14"/>
      <c r="L167" s="27">
        <f>IF(H167="","",H167+I167-J167-K167)</f>
      </c>
      <c r="M167" s="14"/>
    </row>
    <row r="168" ht="20" customHeight="1" spans="2:13" x14ac:dyDescent="0.25">
      <c r="B168" s="11"/>
      <c r="C168" s="11"/>
      <c r="D168" s="12"/>
      <c r="E168" s="12"/>
      <c r="F168" s="12"/>
      <c r="G168" s="29">
        <f>IF(AND(E168&lt;&gt;"",F168&lt;&gt;""),MAX(1,F168-E168),"")</f>
      </c>
      <c r="H168" s="12"/>
      <c r="I168" s="12"/>
      <c r="J168" s="12"/>
      <c r="K168" s="12"/>
      <c r="L168" s="30">
        <f>IF(H168="","",H168+I168-J168-K168)</f>
      </c>
      <c r="M168" s="12"/>
    </row>
    <row r="169" ht="20" customHeight="1" spans="2:13" x14ac:dyDescent="0.25">
      <c r="B169" s="13"/>
      <c r="C169" s="13"/>
      <c r="D169" s="14"/>
      <c r="E169" s="14"/>
      <c r="F169" s="14"/>
      <c r="G169" s="26">
        <f>IF(AND(E169&lt;&gt;"",F169&lt;&gt;""),MAX(1,F169-E169),"")</f>
      </c>
      <c r="H169" s="14"/>
      <c r="I169" s="14"/>
      <c r="J169" s="14"/>
      <c r="K169" s="14"/>
      <c r="L169" s="27">
        <f>IF(H169="","",H169+I169-J169-K169)</f>
      </c>
      <c r="M169" s="14"/>
    </row>
    <row r="170" ht="20" customHeight="1" spans="2:13" x14ac:dyDescent="0.25">
      <c r="B170" s="11"/>
      <c r="C170" s="11"/>
      <c r="D170" s="12"/>
      <c r="E170" s="12"/>
      <c r="F170" s="12"/>
      <c r="G170" s="29">
        <f>IF(AND(E170&lt;&gt;"",F170&lt;&gt;""),MAX(1,F170-E170),"")</f>
      </c>
      <c r="H170" s="12"/>
      <c r="I170" s="12"/>
      <c r="J170" s="12"/>
      <c r="K170" s="12"/>
      <c r="L170" s="30">
        <f>IF(H170="","",H170+I170-J170-K170)</f>
      </c>
      <c r="M170" s="12"/>
    </row>
    <row r="171" ht="20" customHeight="1" spans="2:13" x14ac:dyDescent="0.25">
      <c r="B171" s="13"/>
      <c r="C171" s="13"/>
      <c r="D171" s="14"/>
      <c r="E171" s="14"/>
      <c r="F171" s="14"/>
      <c r="G171" s="26">
        <f>IF(AND(E171&lt;&gt;"",F171&lt;&gt;""),MAX(1,F171-E171),"")</f>
      </c>
      <c r="H171" s="14"/>
      <c r="I171" s="14"/>
      <c r="J171" s="14"/>
      <c r="K171" s="14"/>
      <c r="L171" s="27">
        <f>IF(H171="","",H171+I171-J171-K171)</f>
      </c>
      <c r="M171" s="14"/>
    </row>
    <row r="172" ht="20" customHeight="1" spans="2:13" x14ac:dyDescent="0.25">
      <c r="B172" s="11"/>
      <c r="C172" s="11"/>
      <c r="D172" s="12"/>
      <c r="E172" s="12"/>
      <c r="F172" s="12"/>
      <c r="G172" s="29">
        <f>IF(AND(E172&lt;&gt;"",F172&lt;&gt;""),MAX(1,F172-E172),"")</f>
      </c>
      <c r="H172" s="12"/>
      <c r="I172" s="12"/>
      <c r="J172" s="12"/>
      <c r="K172" s="12"/>
      <c r="L172" s="30">
        <f>IF(H172="","",H172+I172-J172-K172)</f>
      </c>
      <c r="M172" s="12"/>
    </row>
    <row r="173" ht="20" customHeight="1" spans="2:13" x14ac:dyDescent="0.25">
      <c r="B173" s="13"/>
      <c r="C173" s="13"/>
      <c r="D173" s="14"/>
      <c r="E173" s="14"/>
      <c r="F173" s="14"/>
      <c r="G173" s="26">
        <f>IF(AND(E173&lt;&gt;"",F173&lt;&gt;""),MAX(1,F173-E173),"")</f>
      </c>
      <c r="H173" s="14"/>
      <c r="I173" s="14"/>
      <c r="J173" s="14"/>
      <c r="K173" s="14"/>
      <c r="L173" s="27">
        <f>IF(H173="","",H173+I173-J173-K173)</f>
      </c>
      <c r="M173" s="14"/>
    </row>
    <row r="174" ht="20" customHeight="1" spans="2:13" x14ac:dyDescent="0.25">
      <c r="B174" s="11"/>
      <c r="C174" s="11"/>
      <c r="D174" s="12"/>
      <c r="E174" s="12"/>
      <c r="F174" s="12"/>
      <c r="G174" s="29">
        <f>IF(AND(E174&lt;&gt;"",F174&lt;&gt;""),MAX(1,F174-E174),"")</f>
      </c>
      <c r="H174" s="12"/>
      <c r="I174" s="12"/>
      <c r="J174" s="12"/>
      <c r="K174" s="12"/>
      <c r="L174" s="30">
        <f>IF(H174="","",H174+I174-J174-K174)</f>
      </c>
      <c r="M174" s="12"/>
    </row>
    <row r="175" ht="20" customHeight="1" spans="2:13" x14ac:dyDescent="0.25">
      <c r="B175" s="13"/>
      <c r="C175" s="13"/>
      <c r="D175" s="14"/>
      <c r="E175" s="14"/>
      <c r="F175" s="14"/>
      <c r="G175" s="26">
        <f>IF(AND(E175&lt;&gt;"",F175&lt;&gt;""),MAX(1,F175-E175),"")</f>
      </c>
      <c r="H175" s="14"/>
      <c r="I175" s="14"/>
      <c r="J175" s="14"/>
      <c r="K175" s="14"/>
      <c r="L175" s="27">
        <f>IF(H175="","",H175+I175-J175-K175)</f>
      </c>
      <c r="M175" s="14"/>
    </row>
    <row r="176" ht="20" customHeight="1" spans="2:13" x14ac:dyDescent="0.25">
      <c r="B176" s="11"/>
      <c r="C176" s="11"/>
      <c r="D176" s="12"/>
      <c r="E176" s="12"/>
      <c r="F176" s="12"/>
      <c r="G176" s="29">
        <f>IF(AND(E176&lt;&gt;"",F176&lt;&gt;""),MAX(1,F176-E176),"")</f>
      </c>
      <c r="H176" s="12"/>
      <c r="I176" s="12"/>
      <c r="J176" s="12"/>
      <c r="K176" s="12"/>
      <c r="L176" s="30">
        <f>IF(H176="","",H176+I176-J176-K176)</f>
      </c>
      <c r="M176" s="12"/>
    </row>
    <row r="177" ht="20" customHeight="1" spans="2:13" x14ac:dyDescent="0.25">
      <c r="B177" s="13"/>
      <c r="C177" s="13"/>
      <c r="D177" s="14"/>
      <c r="E177" s="14"/>
      <c r="F177" s="14"/>
      <c r="G177" s="26">
        <f>IF(AND(E177&lt;&gt;"",F177&lt;&gt;""),MAX(1,F177-E177),"")</f>
      </c>
      <c r="H177" s="14"/>
      <c r="I177" s="14"/>
      <c r="J177" s="14"/>
      <c r="K177" s="14"/>
      <c r="L177" s="27">
        <f>IF(H177="","",H177+I177-J177-K177)</f>
      </c>
      <c r="M177" s="14"/>
    </row>
    <row r="178" ht="20" customHeight="1" spans="2:13" x14ac:dyDescent="0.25">
      <c r="B178" s="11"/>
      <c r="C178" s="11"/>
      <c r="D178" s="12"/>
      <c r="E178" s="12"/>
      <c r="F178" s="12"/>
      <c r="G178" s="29">
        <f>IF(AND(E178&lt;&gt;"",F178&lt;&gt;""),MAX(1,F178-E178),"")</f>
      </c>
      <c r="H178" s="12"/>
      <c r="I178" s="12"/>
      <c r="J178" s="12"/>
      <c r="K178" s="12"/>
      <c r="L178" s="30">
        <f>IF(H178="","",H178+I178-J178-K178)</f>
      </c>
      <c r="M178" s="12"/>
    </row>
    <row r="179" ht="20" customHeight="1" spans="2:13" x14ac:dyDescent="0.25">
      <c r="B179" s="13"/>
      <c r="C179" s="13"/>
      <c r="D179" s="14"/>
      <c r="E179" s="14"/>
      <c r="F179" s="14"/>
      <c r="G179" s="26">
        <f>IF(AND(E179&lt;&gt;"",F179&lt;&gt;""),MAX(1,F179-E179),"")</f>
      </c>
      <c r="H179" s="14"/>
      <c r="I179" s="14"/>
      <c r="J179" s="14"/>
      <c r="K179" s="14"/>
      <c r="L179" s="27">
        <f>IF(H179="","",H179+I179-J179-K179)</f>
      </c>
      <c r="M179" s="14"/>
    </row>
    <row r="180" ht="20" customHeight="1" spans="2:13" x14ac:dyDescent="0.25">
      <c r="B180" s="11"/>
      <c r="C180" s="11"/>
      <c r="D180" s="12"/>
      <c r="E180" s="12"/>
      <c r="F180" s="12"/>
      <c r="G180" s="29">
        <f>IF(AND(E180&lt;&gt;"",F180&lt;&gt;""),MAX(1,F180-E180),"")</f>
      </c>
      <c r="H180" s="12"/>
      <c r="I180" s="12"/>
      <c r="J180" s="12"/>
      <c r="K180" s="12"/>
      <c r="L180" s="30">
        <f>IF(H180="","",H180+I180-J180-K180)</f>
      </c>
      <c r="M180" s="12"/>
    </row>
    <row r="181" ht="20" customHeight="1" spans="2:13" x14ac:dyDescent="0.25">
      <c r="B181" s="13"/>
      <c r="C181" s="13"/>
      <c r="D181" s="14"/>
      <c r="E181" s="14"/>
      <c r="F181" s="14"/>
      <c r="G181" s="26">
        <f>IF(AND(E181&lt;&gt;"",F181&lt;&gt;""),MAX(1,F181-E181),"")</f>
      </c>
      <c r="H181" s="14"/>
      <c r="I181" s="14"/>
      <c r="J181" s="14"/>
      <c r="K181" s="14"/>
      <c r="L181" s="27">
        <f>IF(H181="","",H181+I181-J181-K181)</f>
      </c>
      <c r="M181" s="14"/>
    </row>
    <row r="182" ht="20" customHeight="1" spans="2:13" x14ac:dyDescent="0.25">
      <c r="B182" s="11"/>
      <c r="C182" s="11"/>
      <c r="D182" s="12"/>
      <c r="E182" s="12"/>
      <c r="F182" s="12"/>
      <c r="G182" s="29">
        <f>IF(AND(E182&lt;&gt;"",F182&lt;&gt;""),MAX(1,F182-E182),"")</f>
      </c>
      <c r="H182" s="12"/>
      <c r="I182" s="12"/>
      <c r="J182" s="12"/>
      <c r="K182" s="12"/>
      <c r="L182" s="30">
        <f>IF(H182="","",H182+I182-J182-K182)</f>
      </c>
      <c r="M182" s="12"/>
    </row>
    <row r="183" ht="20" customHeight="1" spans="2:13" x14ac:dyDescent="0.25">
      <c r="B183" s="13"/>
      <c r="C183" s="13"/>
      <c r="D183" s="14"/>
      <c r="E183" s="14"/>
      <c r="F183" s="14"/>
      <c r="G183" s="26">
        <f>IF(AND(E183&lt;&gt;"",F183&lt;&gt;""),MAX(1,F183-E183),"")</f>
      </c>
      <c r="H183" s="14"/>
      <c r="I183" s="14"/>
      <c r="J183" s="14"/>
      <c r="K183" s="14"/>
      <c r="L183" s="27">
        <f>IF(H183="","",H183+I183-J183-K183)</f>
      </c>
      <c r="M183" s="14"/>
    </row>
    <row r="184" ht="20" customHeight="1" spans="2:13" x14ac:dyDescent="0.25">
      <c r="B184" s="11"/>
      <c r="C184" s="11"/>
      <c r="D184" s="12"/>
      <c r="E184" s="12"/>
      <c r="F184" s="12"/>
      <c r="G184" s="29">
        <f>IF(AND(E184&lt;&gt;"",F184&lt;&gt;""),MAX(1,F184-E184),"")</f>
      </c>
      <c r="H184" s="12"/>
      <c r="I184" s="12"/>
      <c r="J184" s="12"/>
      <c r="K184" s="12"/>
      <c r="L184" s="30">
        <f>IF(H184="","",H184+I184-J184-K184)</f>
      </c>
      <c r="M184" s="12"/>
    </row>
    <row r="185" ht="20" customHeight="1" spans="2:13" x14ac:dyDescent="0.25">
      <c r="B185" s="13"/>
      <c r="C185" s="13"/>
      <c r="D185" s="14"/>
      <c r="E185" s="14"/>
      <c r="F185" s="14"/>
      <c r="G185" s="26">
        <f>IF(AND(E185&lt;&gt;"",F185&lt;&gt;""),MAX(1,F185-E185),"")</f>
      </c>
      <c r="H185" s="14"/>
      <c r="I185" s="14"/>
      <c r="J185" s="14"/>
      <c r="K185" s="14"/>
      <c r="L185" s="27">
        <f>IF(H185="","",H185+I185-J185-K185)</f>
      </c>
      <c r="M185" s="14"/>
    </row>
    <row r="186" ht="20" customHeight="1" spans="2:13" x14ac:dyDescent="0.25">
      <c r="B186" s="11"/>
      <c r="C186" s="11"/>
      <c r="D186" s="12"/>
      <c r="E186" s="12"/>
      <c r="F186" s="12"/>
      <c r="G186" s="29">
        <f>IF(AND(E186&lt;&gt;"",F186&lt;&gt;""),MAX(1,F186-E186),"")</f>
      </c>
      <c r="H186" s="12"/>
      <c r="I186" s="12"/>
      <c r="J186" s="12"/>
      <c r="K186" s="12"/>
      <c r="L186" s="30">
        <f>IF(H186="","",H186+I186-J186-K186)</f>
      </c>
      <c r="M186" s="12"/>
    </row>
    <row r="187" ht="20" customHeight="1" spans="2:13" x14ac:dyDescent="0.25">
      <c r="B187" s="13"/>
      <c r="C187" s="13"/>
      <c r="D187" s="14"/>
      <c r="E187" s="14"/>
      <c r="F187" s="14"/>
      <c r="G187" s="26">
        <f>IF(AND(E187&lt;&gt;"",F187&lt;&gt;""),MAX(1,F187-E187),"")</f>
      </c>
      <c r="H187" s="14"/>
      <c r="I187" s="14"/>
      <c r="J187" s="14"/>
      <c r="K187" s="14"/>
      <c r="L187" s="27">
        <f>IF(H187="","",H187+I187-J187-K187)</f>
      </c>
      <c r="M187" s="14"/>
    </row>
    <row r="188" ht="20" customHeight="1" spans="2:13" x14ac:dyDescent="0.25">
      <c r="B188" s="11"/>
      <c r="C188" s="11"/>
      <c r="D188" s="12"/>
      <c r="E188" s="12"/>
      <c r="F188" s="12"/>
      <c r="G188" s="29">
        <f>IF(AND(E188&lt;&gt;"",F188&lt;&gt;""),MAX(1,F188-E188),"")</f>
      </c>
      <c r="H188" s="12"/>
      <c r="I188" s="12"/>
      <c r="J188" s="12"/>
      <c r="K188" s="12"/>
      <c r="L188" s="30">
        <f>IF(H188="","",H188+I188-J188-K188)</f>
      </c>
      <c r="M188" s="12"/>
    </row>
    <row r="189" ht="20" customHeight="1" spans="2:13" x14ac:dyDescent="0.25">
      <c r="B189" s="13"/>
      <c r="C189" s="13"/>
      <c r="D189" s="14"/>
      <c r="E189" s="14"/>
      <c r="F189" s="14"/>
      <c r="G189" s="26">
        <f>IF(AND(E189&lt;&gt;"",F189&lt;&gt;""),MAX(1,F189-E189),"")</f>
      </c>
      <c r="H189" s="14"/>
      <c r="I189" s="14"/>
      <c r="J189" s="14"/>
      <c r="K189" s="14"/>
      <c r="L189" s="27">
        <f>IF(H189="","",H189+I189-J189-K189)</f>
      </c>
      <c r="M189" s="14"/>
    </row>
    <row r="190" ht="20" customHeight="1" spans="2:13" x14ac:dyDescent="0.25">
      <c r="B190" s="11"/>
      <c r="C190" s="11"/>
      <c r="D190" s="12"/>
      <c r="E190" s="12"/>
      <c r="F190" s="12"/>
      <c r="G190" s="29">
        <f>IF(AND(E190&lt;&gt;"",F190&lt;&gt;""),MAX(1,F190-E190),"")</f>
      </c>
      <c r="H190" s="12"/>
      <c r="I190" s="12"/>
      <c r="J190" s="12"/>
      <c r="K190" s="12"/>
      <c r="L190" s="30">
        <f>IF(H190="","",H190+I190-J190-K190)</f>
      </c>
      <c r="M190" s="12"/>
    </row>
    <row r="191" ht="20" customHeight="1" spans="2:13" x14ac:dyDescent="0.25">
      <c r="B191" s="13"/>
      <c r="C191" s="13"/>
      <c r="D191" s="14"/>
      <c r="E191" s="14"/>
      <c r="F191" s="14"/>
      <c r="G191" s="26">
        <f>IF(AND(E191&lt;&gt;"",F191&lt;&gt;""),MAX(1,F191-E191),"")</f>
      </c>
      <c r="H191" s="14"/>
      <c r="I191" s="14"/>
      <c r="J191" s="14"/>
      <c r="K191" s="14"/>
      <c r="L191" s="27">
        <f>IF(H191="","",H191+I191-J191-K191)</f>
      </c>
      <c r="M191" s="14"/>
    </row>
    <row r="192" ht="20" customHeight="1" spans="2:13" x14ac:dyDescent="0.25">
      <c r="B192" s="11"/>
      <c r="C192" s="11"/>
      <c r="D192" s="12"/>
      <c r="E192" s="12"/>
      <c r="F192" s="12"/>
      <c r="G192" s="29">
        <f>IF(AND(E192&lt;&gt;"",F192&lt;&gt;""),MAX(1,F192-E192),"")</f>
      </c>
      <c r="H192" s="12"/>
      <c r="I192" s="12"/>
      <c r="J192" s="12"/>
      <c r="K192" s="12"/>
      <c r="L192" s="30">
        <f>IF(H192="","",H192+I192-J192-K192)</f>
      </c>
      <c r="M192" s="12"/>
    </row>
    <row r="193" ht="20" customHeight="1" spans="2:13" x14ac:dyDescent="0.25">
      <c r="B193" s="13"/>
      <c r="C193" s="13"/>
      <c r="D193" s="14"/>
      <c r="E193" s="14"/>
      <c r="F193" s="14"/>
      <c r="G193" s="26">
        <f>IF(AND(E193&lt;&gt;"",F193&lt;&gt;""),MAX(1,F193-E193),"")</f>
      </c>
      <c r="H193" s="14"/>
      <c r="I193" s="14"/>
      <c r="J193" s="14"/>
      <c r="K193" s="14"/>
      <c r="L193" s="27">
        <f>IF(H193="","",H193+I193-J193-K193)</f>
      </c>
      <c r="M193" s="14"/>
    </row>
    <row r="194" ht="20" customHeight="1" spans="2:13" x14ac:dyDescent="0.25">
      <c r="B194" s="11"/>
      <c r="C194" s="11"/>
      <c r="D194" s="12"/>
      <c r="E194" s="12"/>
      <c r="F194" s="12"/>
      <c r="G194" s="29">
        <f>IF(AND(E194&lt;&gt;"",F194&lt;&gt;""),MAX(1,F194-E194),"")</f>
      </c>
      <c r="H194" s="12"/>
      <c r="I194" s="12"/>
      <c r="J194" s="12"/>
      <c r="K194" s="12"/>
      <c r="L194" s="30">
        <f>IF(H194="","",H194+I194-J194-K194)</f>
      </c>
      <c r="M194" s="12"/>
    </row>
    <row r="195" ht="20" customHeight="1" spans="2:13" x14ac:dyDescent="0.25">
      <c r="B195" s="13"/>
      <c r="C195" s="13"/>
      <c r="D195" s="14"/>
      <c r="E195" s="14"/>
      <c r="F195" s="14"/>
      <c r="G195" s="26">
        <f>IF(AND(E195&lt;&gt;"",F195&lt;&gt;""),MAX(1,F195-E195),"")</f>
      </c>
      <c r="H195" s="14"/>
      <c r="I195" s="14"/>
      <c r="J195" s="14"/>
      <c r="K195" s="14"/>
      <c r="L195" s="27">
        <f>IF(H195="","",H195+I195-J195-K195)</f>
      </c>
      <c r="M195" s="14"/>
    </row>
    <row r="196" ht="20" customHeight="1" spans="2:13" x14ac:dyDescent="0.25">
      <c r="B196" s="11"/>
      <c r="C196" s="11"/>
      <c r="D196" s="12"/>
      <c r="E196" s="12"/>
      <c r="F196" s="12"/>
      <c r="G196" s="29">
        <f>IF(AND(E196&lt;&gt;"",F196&lt;&gt;""),MAX(1,F196-E196),"")</f>
      </c>
      <c r="H196" s="12"/>
      <c r="I196" s="12"/>
      <c r="J196" s="12"/>
      <c r="K196" s="12"/>
      <c r="L196" s="30">
        <f>IF(H196="","",H196+I196-J196-K196)</f>
      </c>
      <c r="M196" s="12"/>
    </row>
    <row r="197" ht="20" customHeight="1" spans="2:13" x14ac:dyDescent="0.25">
      <c r="B197" s="13"/>
      <c r="C197" s="13"/>
      <c r="D197" s="14"/>
      <c r="E197" s="14"/>
      <c r="F197" s="14"/>
      <c r="G197" s="26">
        <f>IF(AND(E197&lt;&gt;"",F197&lt;&gt;""),MAX(1,F197-E197),"")</f>
      </c>
      <c r="H197" s="14"/>
      <c r="I197" s="14"/>
      <c r="J197" s="14"/>
      <c r="K197" s="14"/>
      <c r="L197" s="27">
        <f>IF(H197="","",H197+I197-J197-K197)</f>
      </c>
      <c r="M197" s="14"/>
    </row>
    <row r="198" ht="20" customHeight="1" spans="2:13" x14ac:dyDescent="0.25">
      <c r="B198" s="11"/>
      <c r="C198" s="11"/>
      <c r="D198" s="12"/>
      <c r="E198" s="12"/>
      <c r="F198" s="12"/>
      <c r="G198" s="29">
        <f>IF(AND(E198&lt;&gt;"",F198&lt;&gt;""),MAX(1,F198-E198),"")</f>
      </c>
      <c r="H198" s="12"/>
      <c r="I198" s="12"/>
      <c r="J198" s="12"/>
      <c r="K198" s="12"/>
      <c r="L198" s="30">
        <f>IF(H198="","",H198+I198-J198-K198)</f>
      </c>
      <c r="M198" s="12"/>
    </row>
    <row r="199" ht="20" customHeight="1" spans="2:13" x14ac:dyDescent="0.25">
      <c r="B199" s="13"/>
      <c r="C199" s="13"/>
      <c r="D199" s="14"/>
      <c r="E199" s="14"/>
      <c r="F199" s="14"/>
      <c r="G199" s="26">
        <f>IF(AND(E199&lt;&gt;"",F199&lt;&gt;""),MAX(1,F199-E199),"")</f>
      </c>
      <c r="H199" s="14"/>
      <c r="I199" s="14"/>
      <c r="J199" s="14"/>
      <c r="K199" s="14"/>
      <c r="L199" s="27">
        <f>IF(H199="","",H199+I199-J199-K199)</f>
      </c>
      <c r="M199" s="14"/>
    </row>
    <row r="200" ht="20" customHeight="1" spans="2:13" x14ac:dyDescent="0.25">
      <c r="B200" s="11"/>
      <c r="C200" s="11"/>
      <c r="D200" s="12"/>
      <c r="E200" s="12"/>
      <c r="F200" s="12"/>
      <c r="G200" s="29">
        <f>IF(AND(E200&lt;&gt;"",F200&lt;&gt;""),MAX(1,F200-E200),"")</f>
      </c>
      <c r="H200" s="12"/>
      <c r="I200" s="12"/>
      <c r="J200" s="12"/>
      <c r="K200" s="12"/>
      <c r="L200" s="30">
        <f>IF(H200="","",H200+I200-J200-K200)</f>
      </c>
      <c r="M200" s="12"/>
    </row>
    <row r="201" ht="20" customHeight="1" spans="2:13" x14ac:dyDescent="0.25">
      <c r="B201" s="13"/>
      <c r="C201" s="13"/>
      <c r="D201" s="14"/>
      <c r="E201" s="14"/>
      <c r="F201" s="14"/>
      <c r="G201" s="26">
        <f>IF(AND(E201&lt;&gt;"",F201&lt;&gt;""),MAX(1,F201-E201),"")</f>
      </c>
      <c r="H201" s="14"/>
      <c r="I201" s="14"/>
      <c r="J201" s="14"/>
      <c r="K201" s="14"/>
      <c r="L201" s="27">
        <f>IF(H201="","",H201+I201-J201-K201)</f>
      </c>
      <c r="M201" s="14"/>
    </row>
    <row r="202" ht="20" customHeight="1" spans="2:13" x14ac:dyDescent="0.25">
      <c r="B202" s="11"/>
      <c r="C202" s="11"/>
      <c r="D202" s="12"/>
      <c r="E202" s="12"/>
      <c r="F202" s="12"/>
      <c r="G202" s="29">
        <f>IF(AND(E202&lt;&gt;"",F202&lt;&gt;""),MAX(1,F202-E202),"")</f>
      </c>
      <c r="H202" s="12"/>
      <c r="I202" s="12"/>
      <c r="J202" s="12"/>
      <c r="K202" s="12"/>
      <c r="L202" s="30">
        <f>IF(H202="","",H202+I202-J202-K202)</f>
      </c>
      <c r="M202" s="12"/>
    </row>
    <row r="203" ht="20" customHeight="1" spans="2:13" x14ac:dyDescent="0.25">
      <c r="B203" s="13"/>
      <c r="C203" s="13"/>
      <c r="D203" s="14"/>
      <c r="E203" s="14"/>
      <c r="F203" s="14"/>
      <c r="G203" s="26">
        <f>IF(AND(E203&lt;&gt;"",F203&lt;&gt;""),MAX(1,F203-E203),"")</f>
      </c>
      <c r="H203" s="14"/>
      <c r="I203" s="14"/>
      <c r="J203" s="14"/>
      <c r="K203" s="14"/>
      <c r="L203" s="27">
        <f>IF(H203="","",H203+I203-J203-K203)</f>
      </c>
      <c r="M203" s="14"/>
    </row>
    <row r="204" ht="20" customHeight="1" spans="2:13" x14ac:dyDescent="0.25">
      <c r="B204" s="11"/>
      <c r="C204" s="11"/>
      <c r="D204" s="12"/>
      <c r="E204" s="12"/>
      <c r="F204" s="12"/>
      <c r="G204" s="29">
        <f>IF(AND(E204&lt;&gt;"",F204&lt;&gt;""),MAX(1,F204-E204),"")</f>
      </c>
      <c r="H204" s="12"/>
      <c r="I204" s="12"/>
      <c r="J204" s="12"/>
      <c r="K204" s="12"/>
      <c r="L204" s="30">
        <f>IF(H204="","",H204+I204-J204-K204)</f>
      </c>
      <c r="M204" s="12"/>
    </row>
    <row r="205" ht="20" customHeight="1" spans="2:13" x14ac:dyDescent="0.25">
      <c r="B205" s="13"/>
      <c r="C205" s="13"/>
      <c r="D205" s="14"/>
      <c r="E205" s="14"/>
      <c r="F205" s="14"/>
      <c r="G205" s="26">
        <f>IF(AND(E205&lt;&gt;"",F205&lt;&gt;""),MAX(1,F205-E205),"")</f>
      </c>
      <c r="H205" s="14"/>
      <c r="I205" s="14"/>
      <c r="J205" s="14"/>
      <c r="K205" s="14"/>
      <c r="L205" s="27">
        <f>IF(H205="","",H205+I205-J205-K205)</f>
      </c>
      <c r="M205" s="14"/>
    </row>
    <row r="206" ht="20" customHeight="1" spans="2:13" x14ac:dyDescent="0.25">
      <c r="B206" s="11"/>
      <c r="C206" s="11"/>
      <c r="D206" s="12"/>
      <c r="E206" s="12"/>
      <c r="F206" s="12"/>
      <c r="G206" s="29">
        <f>IF(AND(E206&lt;&gt;"",F206&lt;&gt;""),MAX(1,F206-E206),"")</f>
      </c>
      <c r="H206" s="12"/>
      <c r="I206" s="12"/>
      <c r="J206" s="12"/>
      <c r="K206" s="12"/>
      <c r="L206" s="30">
        <f>IF(H206="","",H206+I206-J206-K206)</f>
      </c>
      <c r="M206" s="12"/>
    </row>
    <row r="207" ht="20" customHeight="1" spans="2:13" x14ac:dyDescent="0.25">
      <c r="B207" s="13"/>
      <c r="C207" s="13"/>
      <c r="D207" s="14"/>
      <c r="E207" s="14"/>
      <c r="F207" s="14"/>
      <c r="G207" s="26">
        <f>IF(AND(E207&lt;&gt;"",F207&lt;&gt;""),MAX(1,F207-E207),"")</f>
      </c>
      <c r="H207" s="14"/>
      <c r="I207" s="14"/>
      <c r="J207" s="14"/>
      <c r="K207" s="14"/>
      <c r="L207" s="27">
        <f>IF(H207="","",H207+I207-J207-K207)</f>
      </c>
      <c r="M207" s="14"/>
    </row>
    <row r="208" ht="20" customHeight="1" spans="2:13" x14ac:dyDescent="0.25">
      <c r="B208" s="11"/>
      <c r="C208" s="11"/>
      <c r="D208" s="12"/>
      <c r="E208" s="12"/>
      <c r="F208" s="12"/>
      <c r="G208" s="29">
        <f>IF(AND(E208&lt;&gt;"",F208&lt;&gt;""),MAX(1,F208-E208),"")</f>
      </c>
      <c r="H208" s="12"/>
      <c r="I208" s="12"/>
      <c r="J208" s="12"/>
      <c r="K208" s="12"/>
      <c r="L208" s="30">
        <f>IF(H208="","",H208+I208-J208-K208)</f>
      </c>
      <c r="M208" s="12"/>
    </row>
    <row r="209" ht="20" customHeight="1" spans="2:13" x14ac:dyDescent="0.25">
      <c r="B209" s="13"/>
      <c r="C209" s="13"/>
      <c r="D209" s="14"/>
      <c r="E209" s="14"/>
      <c r="F209" s="14"/>
      <c r="G209" s="26">
        <f>IF(AND(E209&lt;&gt;"",F209&lt;&gt;""),MAX(1,F209-E209),"")</f>
      </c>
      <c r="H209" s="14"/>
      <c r="I209" s="14"/>
      <c r="J209" s="14"/>
      <c r="K209" s="14"/>
      <c r="L209" s="27">
        <f>IF(H209="","",H209+I209-J209-K209)</f>
      </c>
      <c r="M209" s="14"/>
    </row>
    <row r="210" ht="20" customHeight="1" spans="2:13" x14ac:dyDescent="0.25">
      <c r="B210" s="11"/>
      <c r="C210" s="11"/>
      <c r="D210" s="12"/>
      <c r="E210" s="12"/>
      <c r="F210" s="12"/>
      <c r="G210" s="29">
        <f>IF(AND(E210&lt;&gt;"",F210&lt;&gt;""),MAX(1,F210-E210),"")</f>
      </c>
      <c r="H210" s="12"/>
      <c r="I210" s="12"/>
      <c r="J210" s="12"/>
      <c r="K210" s="12"/>
      <c r="L210" s="30">
        <f>IF(H210="","",H210+I210-J210-K210)</f>
      </c>
      <c r="M210" s="12"/>
    </row>
    <row r="211" ht="20" customHeight="1" spans="2:13" x14ac:dyDescent="0.25">
      <c r="B211" s="13"/>
      <c r="C211" s="13"/>
      <c r="D211" s="14"/>
      <c r="E211" s="14"/>
      <c r="F211" s="14"/>
      <c r="G211" s="26">
        <f>IF(AND(E211&lt;&gt;"",F211&lt;&gt;""),MAX(1,F211-E211),"")</f>
      </c>
      <c r="H211" s="14"/>
      <c r="I211" s="14"/>
      <c r="J211" s="14"/>
      <c r="K211" s="14"/>
      <c r="L211" s="27">
        <f>IF(H211="","",H211+I211-J211-K211)</f>
      </c>
      <c r="M211" s="14"/>
    </row>
    <row r="212" ht="20" customHeight="1" spans="2:13" x14ac:dyDescent="0.25">
      <c r="B212" s="11"/>
      <c r="C212" s="11"/>
      <c r="D212" s="12"/>
      <c r="E212" s="12"/>
      <c r="F212" s="12"/>
      <c r="G212" s="29">
        <f>IF(AND(E212&lt;&gt;"",F212&lt;&gt;""),MAX(1,F212-E212),"")</f>
      </c>
      <c r="H212" s="12"/>
      <c r="I212" s="12"/>
      <c r="J212" s="12"/>
      <c r="K212" s="12"/>
      <c r="L212" s="30">
        <f>IF(H212="","",H212+I212-J212-K212)</f>
      </c>
      <c r="M212" s="12"/>
    </row>
    <row r="213" ht="20" customHeight="1" spans="2:13" x14ac:dyDescent="0.25">
      <c r="B213" s="13"/>
      <c r="C213" s="13"/>
      <c r="D213" s="14"/>
      <c r="E213" s="14"/>
      <c r="F213" s="14"/>
      <c r="G213" s="26">
        <f>IF(AND(E213&lt;&gt;"",F213&lt;&gt;""),MAX(1,F213-E213),"")</f>
      </c>
      <c r="H213" s="14"/>
      <c r="I213" s="14"/>
      <c r="J213" s="14"/>
      <c r="K213" s="14"/>
      <c r="L213" s="27">
        <f>IF(H213="","",H213+I213-J213-K213)</f>
      </c>
      <c r="M213" s="14"/>
    </row>
    <row r="214" ht="20" customHeight="1" spans="2:13" x14ac:dyDescent="0.25">
      <c r="B214" s="11"/>
      <c r="C214" s="11"/>
      <c r="D214" s="12"/>
      <c r="E214" s="12"/>
      <c r="F214" s="12"/>
      <c r="G214" s="29">
        <f>IF(AND(E214&lt;&gt;"",F214&lt;&gt;""),MAX(1,F214-E214),"")</f>
      </c>
      <c r="H214" s="12"/>
      <c r="I214" s="12"/>
      <c r="J214" s="12"/>
      <c r="K214" s="12"/>
      <c r="L214" s="30">
        <f>IF(H214="","",H214+I214-J214-K214)</f>
      </c>
      <c r="M214" s="12"/>
    </row>
    <row r="215" ht="20" customHeight="1" spans="2:13" x14ac:dyDescent="0.25">
      <c r="B215" s="13"/>
      <c r="C215" s="13"/>
      <c r="D215" s="14"/>
      <c r="E215" s="14"/>
      <c r="F215" s="14"/>
      <c r="G215" s="26">
        <f>IF(AND(E215&lt;&gt;"",F215&lt;&gt;""),MAX(1,F215-E215),"")</f>
      </c>
      <c r="H215" s="14"/>
      <c r="I215" s="14"/>
      <c r="J215" s="14"/>
      <c r="K215" s="14"/>
      <c r="L215" s="27">
        <f>IF(H215="","",H215+I215-J215-K215)</f>
      </c>
      <c r="M215" s="14"/>
    </row>
    <row r="216" ht="20" customHeight="1" spans="2:13" x14ac:dyDescent="0.25">
      <c r="B216" s="11"/>
      <c r="C216" s="11"/>
      <c r="D216" s="12"/>
      <c r="E216" s="12"/>
      <c r="F216" s="12"/>
      <c r="G216" s="29">
        <f>IF(AND(E216&lt;&gt;"",F216&lt;&gt;""),MAX(1,F216-E216),"")</f>
      </c>
      <c r="H216" s="12"/>
      <c r="I216" s="12"/>
      <c r="J216" s="12"/>
      <c r="K216" s="12"/>
      <c r="L216" s="30">
        <f>IF(H216="","",H216+I216-J216-K216)</f>
      </c>
      <c r="M216" s="12"/>
    </row>
    <row r="217" ht="20" customHeight="1" spans="2:13" x14ac:dyDescent="0.25">
      <c r="B217" s="13"/>
      <c r="C217" s="13"/>
      <c r="D217" s="14"/>
      <c r="E217" s="14"/>
      <c r="F217" s="14"/>
      <c r="G217" s="26">
        <f>IF(AND(E217&lt;&gt;"",F217&lt;&gt;""),MAX(1,F217-E217),"")</f>
      </c>
      <c r="H217" s="14"/>
      <c r="I217" s="14"/>
      <c r="J217" s="14"/>
      <c r="K217" s="14"/>
      <c r="L217" s="27">
        <f>IF(H217="","",H217+I217-J217-K217)</f>
      </c>
      <c r="M217" s="14"/>
    </row>
    <row r="218" ht="20" customHeight="1" spans="2:13" x14ac:dyDescent="0.25">
      <c r="B218" s="11"/>
      <c r="C218" s="11"/>
      <c r="D218" s="12"/>
      <c r="E218" s="12"/>
      <c r="F218" s="12"/>
      <c r="G218" s="29">
        <f>IF(AND(E218&lt;&gt;"",F218&lt;&gt;""),MAX(1,F218-E218),"")</f>
      </c>
      <c r="H218" s="12"/>
      <c r="I218" s="12"/>
      <c r="J218" s="12"/>
      <c r="K218" s="12"/>
      <c r="L218" s="30">
        <f>IF(H218="","",H218+I218-J218-K218)</f>
      </c>
      <c r="M218" s="12"/>
    </row>
    <row r="219" ht="20" customHeight="1" spans="2:13" x14ac:dyDescent="0.25">
      <c r="B219" s="13"/>
      <c r="C219" s="13"/>
      <c r="D219" s="14"/>
      <c r="E219" s="14"/>
      <c r="F219" s="14"/>
      <c r="G219" s="26">
        <f>IF(AND(E219&lt;&gt;"",F219&lt;&gt;""),MAX(1,F219-E219),"")</f>
      </c>
      <c r="H219" s="14"/>
      <c r="I219" s="14"/>
      <c r="J219" s="14"/>
      <c r="K219" s="14"/>
      <c r="L219" s="27">
        <f>IF(H219="","",H219+I219-J219-K219)</f>
      </c>
      <c r="M219" s="14"/>
    </row>
    <row r="220" ht="20" customHeight="1" spans="2:13" x14ac:dyDescent="0.25">
      <c r="B220" s="11"/>
      <c r="C220" s="11"/>
      <c r="D220" s="12"/>
      <c r="E220" s="12"/>
      <c r="F220" s="12"/>
      <c r="G220" s="29">
        <f>IF(AND(E220&lt;&gt;"",F220&lt;&gt;""),MAX(1,F220-E220),"")</f>
      </c>
      <c r="H220" s="12"/>
      <c r="I220" s="12"/>
      <c r="J220" s="12"/>
      <c r="K220" s="12"/>
      <c r="L220" s="30">
        <f>IF(H220="","",H220+I220-J220-K220)</f>
      </c>
      <c r="M220" s="12"/>
    </row>
    <row r="221" ht="20" customHeight="1" spans="2:13" x14ac:dyDescent="0.25">
      <c r="B221" s="13"/>
      <c r="C221" s="13"/>
      <c r="D221" s="14"/>
      <c r="E221" s="14"/>
      <c r="F221" s="14"/>
      <c r="G221" s="26">
        <f>IF(AND(E221&lt;&gt;"",F221&lt;&gt;""),MAX(1,F221-E221),"")</f>
      </c>
      <c r="H221" s="14"/>
      <c r="I221" s="14"/>
      <c r="J221" s="14"/>
      <c r="K221" s="14"/>
      <c r="L221" s="27">
        <f>IF(H221="","",H221+I221-J221-K221)</f>
      </c>
      <c r="M221" s="14"/>
    </row>
    <row r="222" ht="20" customHeight="1" spans="2:13" x14ac:dyDescent="0.25">
      <c r="B222" s="11"/>
      <c r="C222" s="11"/>
      <c r="D222" s="12"/>
      <c r="E222" s="12"/>
      <c r="F222" s="12"/>
      <c r="G222" s="29">
        <f>IF(AND(E222&lt;&gt;"",F222&lt;&gt;""),MAX(1,F222-E222),"")</f>
      </c>
      <c r="H222" s="12"/>
      <c r="I222" s="12"/>
      <c r="J222" s="12"/>
      <c r="K222" s="12"/>
      <c r="L222" s="30">
        <f>IF(H222="","",H222+I222-J222-K222)</f>
      </c>
      <c r="M222" s="12"/>
    </row>
    <row r="223" ht="20" customHeight="1" spans="2:13" x14ac:dyDescent="0.25">
      <c r="B223" s="13"/>
      <c r="C223" s="13"/>
      <c r="D223" s="14"/>
      <c r="E223" s="14"/>
      <c r="F223" s="14"/>
      <c r="G223" s="26">
        <f>IF(AND(E223&lt;&gt;"",F223&lt;&gt;""),MAX(1,F223-E223),"")</f>
      </c>
      <c r="H223" s="14"/>
      <c r="I223" s="14"/>
      <c r="J223" s="14"/>
      <c r="K223" s="14"/>
      <c r="L223" s="27">
        <f>IF(H223="","",H223+I223-J223-K223)</f>
      </c>
      <c r="M223" s="14"/>
    </row>
    <row r="224" ht="20" customHeight="1" spans="2:13" x14ac:dyDescent="0.25">
      <c r="B224" s="11"/>
      <c r="C224" s="11"/>
      <c r="D224" s="12"/>
      <c r="E224" s="12"/>
      <c r="F224" s="12"/>
      <c r="G224" s="29">
        <f>IF(AND(E224&lt;&gt;"",F224&lt;&gt;""),MAX(1,F224-E224),"")</f>
      </c>
      <c r="H224" s="12"/>
      <c r="I224" s="12"/>
      <c r="J224" s="12"/>
      <c r="K224" s="12"/>
      <c r="L224" s="30">
        <f>IF(H224="","",H224+I224-J224-K224)</f>
      </c>
      <c r="M224" s="12"/>
    </row>
    <row r="225" ht="20" customHeight="1" spans="2:13" x14ac:dyDescent="0.25">
      <c r="B225" s="13"/>
      <c r="C225" s="13"/>
      <c r="D225" s="14"/>
      <c r="E225" s="14"/>
      <c r="F225" s="14"/>
      <c r="G225" s="26">
        <f>IF(AND(E225&lt;&gt;"",F225&lt;&gt;""),MAX(1,F225-E225),"")</f>
      </c>
      <c r="H225" s="14"/>
      <c r="I225" s="14"/>
      <c r="J225" s="14"/>
      <c r="K225" s="14"/>
      <c r="L225" s="27">
        <f>IF(H225="","",H225+I225-J225-K225)</f>
      </c>
      <c r="M225" s="14"/>
    </row>
    <row r="226" ht="20" customHeight="1" spans="2:13" x14ac:dyDescent="0.25">
      <c r="B226" s="11"/>
      <c r="C226" s="11"/>
      <c r="D226" s="12"/>
      <c r="E226" s="12"/>
      <c r="F226" s="12"/>
      <c r="G226" s="29">
        <f>IF(AND(E226&lt;&gt;"",F226&lt;&gt;""),MAX(1,F226-E226),"")</f>
      </c>
      <c r="H226" s="12"/>
      <c r="I226" s="12"/>
      <c r="J226" s="12"/>
      <c r="K226" s="12"/>
      <c r="L226" s="30">
        <f>IF(H226="","",H226+I226-J226-K226)</f>
      </c>
      <c r="M226" s="12"/>
    </row>
    <row r="227" ht="20" customHeight="1" spans="2:13" x14ac:dyDescent="0.25">
      <c r="B227" s="13"/>
      <c r="C227" s="13"/>
      <c r="D227" s="14"/>
      <c r="E227" s="14"/>
      <c r="F227" s="14"/>
      <c r="G227" s="26">
        <f>IF(AND(E227&lt;&gt;"",F227&lt;&gt;""),MAX(1,F227-E227),"")</f>
      </c>
      <c r="H227" s="14"/>
      <c r="I227" s="14"/>
      <c r="J227" s="14"/>
      <c r="K227" s="14"/>
      <c r="L227" s="27">
        <f>IF(H227="","",H227+I227-J227-K227)</f>
      </c>
      <c r="M227" s="14"/>
    </row>
    <row r="228" ht="20" customHeight="1" spans="2:13" x14ac:dyDescent="0.25">
      <c r="B228" s="11"/>
      <c r="C228" s="11"/>
      <c r="D228" s="12"/>
      <c r="E228" s="12"/>
      <c r="F228" s="12"/>
      <c r="G228" s="29">
        <f>IF(AND(E228&lt;&gt;"",F228&lt;&gt;""),MAX(1,F228-E228),"")</f>
      </c>
      <c r="H228" s="12"/>
      <c r="I228" s="12"/>
      <c r="J228" s="12"/>
      <c r="K228" s="12"/>
      <c r="L228" s="30">
        <f>IF(H228="","",H228+I228-J228-K228)</f>
      </c>
      <c r="M228" s="12"/>
    </row>
    <row r="229" ht="20" customHeight="1" spans="2:13" x14ac:dyDescent="0.25">
      <c r="B229" s="13"/>
      <c r="C229" s="13"/>
      <c r="D229" s="14"/>
      <c r="E229" s="14"/>
      <c r="F229" s="14"/>
      <c r="G229" s="26">
        <f>IF(AND(E229&lt;&gt;"",F229&lt;&gt;""),MAX(1,F229-E229),"")</f>
      </c>
      <c r="H229" s="14"/>
      <c r="I229" s="14"/>
      <c r="J229" s="14"/>
      <c r="K229" s="14"/>
      <c r="L229" s="27">
        <f>IF(H229="","",H229+I229-J229-K229)</f>
      </c>
      <c r="M229" s="14"/>
    </row>
    <row r="230" ht="20" customHeight="1" spans="2:13" x14ac:dyDescent="0.25">
      <c r="B230" s="11"/>
      <c r="C230" s="11"/>
      <c r="D230" s="12"/>
      <c r="E230" s="12"/>
      <c r="F230" s="12"/>
      <c r="G230" s="29">
        <f>IF(AND(E230&lt;&gt;"",F230&lt;&gt;""),MAX(1,F230-E230),"")</f>
      </c>
      <c r="H230" s="12"/>
      <c r="I230" s="12"/>
      <c r="J230" s="12"/>
      <c r="K230" s="12"/>
      <c r="L230" s="30">
        <f>IF(H230="","",H230+I230-J230-K230)</f>
      </c>
      <c r="M230" s="12"/>
    </row>
    <row r="231" ht="20" customHeight="1" spans="2:13" x14ac:dyDescent="0.25">
      <c r="B231" s="13"/>
      <c r="C231" s="13"/>
      <c r="D231" s="14"/>
      <c r="E231" s="14"/>
      <c r="F231" s="14"/>
      <c r="G231" s="26">
        <f>IF(AND(E231&lt;&gt;"",F231&lt;&gt;""),MAX(1,F231-E231),"")</f>
      </c>
      <c r="H231" s="14"/>
      <c r="I231" s="14"/>
      <c r="J231" s="14"/>
      <c r="K231" s="14"/>
      <c r="L231" s="27">
        <f>IF(H231="","",H231+I231-J231-K231)</f>
      </c>
      <c r="M231" s="14"/>
    </row>
    <row r="232" ht="20" customHeight="1" spans="2:13" x14ac:dyDescent="0.25">
      <c r="B232" s="11"/>
      <c r="C232" s="11"/>
      <c r="D232" s="12"/>
      <c r="E232" s="12"/>
      <c r="F232" s="12"/>
      <c r="G232" s="29">
        <f>IF(AND(E232&lt;&gt;"",F232&lt;&gt;""),MAX(1,F232-E232),"")</f>
      </c>
      <c r="H232" s="12"/>
      <c r="I232" s="12"/>
      <c r="J232" s="12"/>
      <c r="K232" s="12"/>
      <c r="L232" s="30">
        <f>IF(H232="","",H232+I232-J232-K232)</f>
      </c>
      <c r="M232" s="12"/>
    </row>
    <row r="233" ht="20" customHeight="1" spans="2:13" x14ac:dyDescent="0.25">
      <c r="B233" s="13"/>
      <c r="C233" s="13"/>
      <c r="D233" s="14"/>
      <c r="E233" s="14"/>
      <c r="F233" s="14"/>
      <c r="G233" s="26">
        <f>IF(AND(E233&lt;&gt;"",F233&lt;&gt;""),MAX(1,F233-E233),"")</f>
      </c>
      <c r="H233" s="14"/>
      <c r="I233" s="14"/>
      <c r="J233" s="14"/>
      <c r="K233" s="14"/>
      <c r="L233" s="27">
        <f>IF(H233="","",H233+I233-J233-K233)</f>
      </c>
      <c r="M233" s="14"/>
    </row>
    <row r="234" ht="20" customHeight="1" spans="2:13" x14ac:dyDescent="0.25">
      <c r="B234" s="11"/>
      <c r="C234" s="11"/>
      <c r="D234" s="12"/>
      <c r="E234" s="12"/>
      <c r="F234" s="12"/>
      <c r="G234" s="29">
        <f>IF(AND(E234&lt;&gt;"",F234&lt;&gt;""),MAX(1,F234-E234),"")</f>
      </c>
      <c r="H234" s="12"/>
      <c r="I234" s="12"/>
      <c r="J234" s="12"/>
      <c r="K234" s="12"/>
      <c r="L234" s="30">
        <f>IF(H234="","",H234+I234-J234-K234)</f>
      </c>
      <c r="M234" s="12"/>
    </row>
    <row r="235" ht="20" customHeight="1" spans="2:13" x14ac:dyDescent="0.25">
      <c r="B235" s="13"/>
      <c r="C235" s="13"/>
      <c r="D235" s="14"/>
      <c r="E235" s="14"/>
      <c r="F235" s="14"/>
      <c r="G235" s="26">
        <f>IF(AND(E235&lt;&gt;"",F235&lt;&gt;""),MAX(1,F235-E235),"")</f>
      </c>
      <c r="H235" s="14"/>
      <c r="I235" s="14"/>
      <c r="J235" s="14"/>
      <c r="K235" s="14"/>
      <c r="L235" s="27">
        <f>IF(H235="","",H235+I235-J235-K235)</f>
      </c>
      <c r="M235" s="14"/>
    </row>
    <row r="236" ht="20" customHeight="1" spans="2:13" x14ac:dyDescent="0.25">
      <c r="B236" s="11"/>
      <c r="C236" s="11"/>
      <c r="D236" s="12"/>
      <c r="E236" s="12"/>
      <c r="F236" s="12"/>
      <c r="G236" s="29">
        <f>IF(AND(E236&lt;&gt;"",F236&lt;&gt;""),MAX(1,F236-E236),"")</f>
      </c>
      <c r="H236" s="12"/>
      <c r="I236" s="12"/>
      <c r="J236" s="12"/>
      <c r="K236" s="12"/>
      <c r="L236" s="30">
        <f>IF(H236="","",H236+I236-J236-K236)</f>
      </c>
      <c r="M236" s="12"/>
    </row>
    <row r="237" ht="20" customHeight="1" spans="2:13" x14ac:dyDescent="0.25">
      <c r="B237" s="13"/>
      <c r="C237" s="13"/>
      <c r="D237" s="14"/>
      <c r="E237" s="14"/>
      <c r="F237" s="14"/>
      <c r="G237" s="26">
        <f>IF(AND(E237&lt;&gt;"",F237&lt;&gt;""),MAX(1,F237-E237),"")</f>
      </c>
      <c r="H237" s="14"/>
      <c r="I237" s="14"/>
      <c r="J237" s="14"/>
      <c r="K237" s="14"/>
      <c r="L237" s="27">
        <f>IF(H237="","",H237+I237-J237-K237)</f>
      </c>
      <c r="M237" s="14"/>
    </row>
    <row r="238" ht="20" customHeight="1" spans="2:13" x14ac:dyDescent="0.25">
      <c r="B238" s="11"/>
      <c r="C238" s="11"/>
      <c r="D238" s="12"/>
      <c r="E238" s="12"/>
      <c r="F238" s="12"/>
      <c r="G238" s="29">
        <f>IF(AND(E238&lt;&gt;"",F238&lt;&gt;""),MAX(1,F238-E238),"")</f>
      </c>
      <c r="H238" s="12"/>
      <c r="I238" s="12"/>
      <c r="J238" s="12"/>
      <c r="K238" s="12"/>
      <c r="L238" s="30">
        <f>IF(H238="","",H238+I238-J238-K238)</f>
      </c>
      <c r="M238" s="12"/>
    </row>
    <row r="239" ht="20" customHeight="1" spans="2:13" x14ac:dyDescent="0.25">
      <c r="B239" s="13"/>
      <c r="C239" s="13"/>
      <c r="D239" s="14"/>
      <c r="E239" s="14"/>
      <c r="F239" s="14"/>
      <c r="G239" s="26">
        <f>IF(AND(E239&lt;&gt;"",F239&lt;&gt;""),MAX(1,F239-E239),"")</f>
      </c>
      <c r="H239" s="14"/>
      <c r="I239" s="14"/>
      <c r="J239" s="14"/>
      <c r="K239" s="14"/>
      <c r="L239" s="27">
        <f>IF(H239="","",H239+I239-J239-K239)</f>
      </c>
      <c r="M239" s="14"/>
    </row>
    <row r="240" ht="20" customHeight="1" spans="2:13" x14ac:dyDescent="0.25">
      <c r="B240" s="11"/>
      <c r="C240" s="11"/>
      <c r="D240" s="12"/>
      <c r="E240" s="12"/>
      <c r="F240" s="12"/>
      <c r="G240" s="29">
        <f>IF(AND(E240&lt;&gt;"",F240&lt;&gt;""),MAX(1,F240-E240),"")</f>
      </c>
      <c r="H240" s="12"/>
      <c r="I240" s="12"/>
      <c r="J240" s="12"/>
      <c r="K240" s="12"/>
      <c r="L240" s="30">
        <f>IF(H240="","",H240+I240-J240-K240)</f>
      </c>
      <c r="M240" s="12"/>
    </row>
    <row r="241" ht="20" customHeight="1" spans="2:13" x14ac:dyDescent="0.25">
      <c r="B241" s="13"/>
      <c r="C241" s="13"/>
      <c r="D241" s="14"/>
      <c r="E241" s="14"/>
      <c r="F241" s="14"/>
      <c r="G241" s="26">
        <f>IF(AND(E241&lt;&gt;"",F241&lt;&gt;""),MAX(1,F241-E241),"")</f>
      </c>
      <c r="H241" s="14"/>
      <c r="I241" s="14"/>
      <c r="J241" s="14"/>
      <c r="K241" s="14"/>
      <c r="L241" s="27">
        <f>IF(H241="","",H241+I241-J241-K241)</f>
      </c>
      <c r="M241" s="14"/>
    </row>
    <row r="242" ht="20" customHeight="1" spans="2:13" x14ac:dyDescent="0.25">
      <c r="B242" s="11"/>
      <c r="C242" s="11"/>
      <c r="D242" s="12"/>
      <c r="E242" s="12"/>
      <c r="F242" s="12"/>
      <c r="G242" s="29">
        <f>IF(AND(E242&lt;&gt;"",F242&lt;&gt;""),MAX(1,F242-E242),"")</f>
      </c>
      <c r="H242" s="12"/>
      <c r="I242" s="12"/>
      <c r="J242" s="12"/>
      <c r="K242" s="12"/>
      <c r="L242" s="30">
        <f>IF(H242="","",H242+I242-J242-K242)</f>
      </c>
      <c r="M242" s="12"/>
    </row>
    <row r="243" ht="20" customHeight="1" spans="2:13" x14ac:dyDescent="0.25">
      <c r="B243" s="13"/>
      <c r="C243" s="13"/>
      <c r="D243" s="14"/>
      <c r="E243" s="14"/>
      <c r="F243" s="14"/>
      <c r="G243" s="26">
        <f>IF(AND(E243&lt;&gt;"",F243&lt;&gt;""),MAX(1,F243-E243),"")</f>
      </c>
      <c r="H243" s="14"/>
      <c r="I243" s="14"/>
      <c r="J243" s="14"/>
      <c r="K243" s="14"/>
      <c r="L243" s="27">
        <f>IF(H243="","",H243+I243-J243-K243)</f>
      </c>
      <c r="M243" s="14"/>
    </row>
    <row r="244" ht="20" customHeight="1" spans="2:13" x14ac:dyDescent="0.25">
      <c r="B244" s="11"/>
      <c r="C244" s="11"/>
      <c r="D244" s="12"/>
      <c r="E244" s="12"/>
      <c r="F244" s="12"/>
      <c r="G244" s="29">
        <f>IF(AND(E244&lt;&gt;"",F244&lt;&gt;""),MAX(1,F244-E244),"")</f>
      </c>
      <c r="H244" s="12"/>
      <c r="I244" s="12"/>
      <c r="J244" s="12"/>
      <c r="K244" s="12"/>
      <c r="L244" s="30">
        <f>IF(H244="","",H244+I244-J244-K244)</f>
      </c>
      <c r="M244" s="12"/>
    </row>
    <row r="245" ht="20" customHeight="1" spans="2:13" x14ac:dyDescent="0.25">
      <c r="B245" s="13"/>
      <c r="C245" s="13"/>
      <c r="D245" s="14"/>
      <c r="E245" s="14"/>
      <c r="F245" s="14"/>
      <c r="G245" s="26">
        <f>IF(AND(E245&lt;&gt;"",F245&lt;&gt;""),MAX(1,F245-E245),"")</f>
      </c>
      <c r="H245" s="14"/>
      <c r="I245" s="14"/>
      <c r="J245" s="14"/>
      <c r="K245" s="14"/>
      <c r="L245" s="27">
        <f>IF(H245="","",H245+I245-J245-K245)</f>
      </c>
      <c r="M245" s="14"/>
    </row>
    <row r="246" ht="20" customHeight="1" spans="2:13" x14ac:dyDescent="0.25">
      <c r="B246" s="11"/>
      <c r="C246" s="11"/>
      <c r="D246" s="12"/>
      <c r="E246" s="12"/>
      <c r="F246" s="12"/>
      <c r="G246" s="29">
        <f>IF(AND(E246&lt;&gt;"",F246&lt;&gt;""),MAX(1,F246-E246),"")</f>
      </c>
      <c r="H246" s="12"/>
      <c r="I246" s="12"/>
      <c r="J246" s="12"/>
      <c r="K246" s="12"/>
      <c r="L246" s="30">
        <f>IF(H246="","",H246+I246-J246-K246)</f>
      </c>
      <c r="M246" s="12"/>
    </row>
    <row r="247" ht="20" customHeight="1" spans="2:13" x14ac:dyDescent="0.25">
      <c r="B247" s="13"/>
      <c r="C247" s="13"/>
      <c r="D247" s="14"/>
      <c r="E247" s="14"/>
      <c r="F247" s="14"/>
      <c r="G247" s="26">
        <f>IF(AND(E247&lt;&gt;"",F247&lt;&gt;""),MAX(1,F247-E247),"")</f>
      </c>
      <c r="H247" s="14"/>
      <c r="I247" s="14"/>
      <c r="J247" s="14"/>
      <c r="K247" s="14"/>
      <c r="L247" s="27">
        <f>IF(H247="","",H247+I247-J247-K247)</f>
      </c>
      <c r="M247" s="14"/>
    </row>
    <row r="248" ht="20" customHeight="1" spans="2:13" x14ac:dyDescent="0.25">
      <c r="B248" s="11"/>
      <c r="C248" s="11"/>
      <c r="D248" s="12"/>
      <c r="E248" s="12"/>
      <c r="F248" s="12"/>
      <c r="G248" s="29">
        <f>IF(AND(E248&lt;&gt;"",F248&lt;&gt;""),MAX(1,F248-E248),"")</f>
      </c>
      <c r="H248" s="12"/>
      <c r="I248" s="12"/>
      <c r="J248" s="12"/>
      <c r="K248" s="12"/>
      <c r="L248" s="30">
        <f>IF(H248="","",H248+I248-J248-K248)</f>
      </c>
      <c r="M248" s="12"/>
    </row>
    <row r="249" ht="20" customHeight="1" spans="2:13" x14ac:dyDescent="0.25">
      <c r="B249" s="13"/>
      <c r="C249" s="13"/>
      <c r="D249" s="14"/>
      <c r="E249" s="14"/>
      <c r="F249" s="14"/>
      <c r="G249" s="26">
        <f>IF(AND(E249&lt;&gt;"",F249&lt;&gt;""),MAX(1,F249-E249),"")</f>
      </c>
      <c r="H249" s="14"/>
      <c r="I249" s="14"/>
      <c r="J249" s="14"/>
      <c r="K249" s="14"/>
      <c r="L249" s="27">
        <f>IF(H249="","",H249+I249-J249-K249)</f>
      </c>
      <c r="M249" s="14"/>
    </row>
    <row r="250" ht="20" customHeight="1" spans="2:13" x14ac:dyDescent="0.25">
      <c r="B250" s="11"/>
      <c r="C250" s="11"/>
      <c r="D250" s="12"/>
      <c r="E250" s="12"/>
      <c r="F250" s="12"/>
      <c r="G250" s="29">
        <f>IF(AND(E250&lt;&gt;"",F250&lt;&gt;""),MAX(1,F250-E250),"")</f>
      </c>
      <c r="H250" s="12"/>
      <c r="I250" s="12"/>
      <c r="J250" s="12"/>
      <c r="K250" s="12"/>
      <c r="L250" s="30">
        <f>IF(H250="","",H250+I250-J250-K250)</f>
      </c>
      <c r="M250" s="12"/>
    </row>
    <row r="251" ht="20" customHeight="1" spans="2:13" x14ac:dyDescent="0.25">
      <c r="B251" s="13"/>
      <c r="C251" s="13"/>
      <c r="D251" s="14"/>
      <c r="E251" s="14"/>
      <c r="F251" s="14"/>
      <c r="G251" s="26">
        <f>IF(AND(E251&lt;&gt;"",F251&lt;&gt;""),MAX(1,F251-E251),"")</f>
      </c>
      <c r="H251" s="14"/>
      <c r="I251" s="14"/>
      <c r="J251" s="14"/>
      <c r="K251" s="14"/>
      <c r="L251" s="27">
        <f>IF(H251="","",H251+I251-J251-K251)</f>
      </c>
      <c r="M251" s="14"/>
    </row>
    <row r="252" ht="20" customHeight="1" spans="2:13" x14ac:dyDescent="0.25">
      <c r="B252" s="11"/>
      <c r="C252" s="11"/>
      <c r="D252" s="12"/>
      <c r="E252" s="12"/>
      <c r="F252" s="12"/>
      <c r="G252" s="29">
        <f>IF(AND(E252&lt;&gt;"",F252&lt;&gt;""),MAX(1,F252-E252),"")</f>
      </c>
      <c r="H252" s="12"/>
      <c r="I252" s="12"/>
      <c r="J252" s="12"/>
      <c r="K252" s="12"/>
      <c r="L252" s="30">
        <f>IF(H252="","",H252+I252-J252-K252)</f>
      </c>
      <c r="M252" s="12"/>
    </row>
    <row r="253" ht="20" customHeight="1" spans="2:13" x14ac:dyDescent="0.25">
      <c r="B253" s="13"/>
      <c r="C253" s="13"/>
      <c r="D253" s="14"/>
      <c r="E253" s="14"/>
      <c r="F253" s="14"/>
      <c r="G253" s="26">
        <f>IF(AND(E253&lt;&gt;"",F253&lt;&gt;""),MAX(1,F253-E253),"")</f>
      </c>
      <c r="H253" s="14"/>
      <c r="I253" s="14"/>
      <c r="J253" s="14"/>
      <c r="K253" s="14"/>
      <c r="L253" s="27">
        <f>IF(H253="","",H253+I253-J253-K253)</f>
      </c>
      <c r="M253" s="14"/>
    </row>
    <row r="254" ht="20" customHeight="1" spans="2:13" x14ac:dyDescent="0.25">
      <c r="B254" s="11"/>
      <c r="C254" s="11"/>
      <c r="D254" s="12"/>
      <c r="E254" s="12"/>
      <c r="F254" s="12"/>
      <c r="G254" s="29">
        <f>IF(AND(E254&lt;&gt;"",F254&lt;&gt;""),MAX(1,F254-E254),"")</f>
      </c>
      <c r="H254" s="12"/>
      <c r="I254" s="12"/>
      <c r="J254" s="12"/>
      <c r="K254" s="12"/>
      <c r="L254" s="30">
        <f>IF(H254="","",H254+I254-J254-K254)</f>
      </c>
      <c r="M254" s="12"/>
    </row>
    <row r="255" ht="20" customHeight="1" spans="2:13" x14ac:dyDescent="0.25">
      <c r="B255" s="13"/>
      <c r="C255" s="13"/>
      <c r="D255" s="14"/>
      <c r="E255" s="14"/>
      <c r="F255" s="14"/>
      <c r="G255" s="26">
        <f>IF(AND(E255&lt;&gt;"",F255&lt;&gt;""),MAX(1,F255-E255),"")</f>
      </c>
      <c r="H255" s="14"/>
      <c r="I255" s="14"/>
      <c r="J255" s="14"/>
      <c r="K255" s="14"/>
      <c r="L255" s="27">
        <f>IF(H255="","",H255+I255-J255-K255)</f>
      </c>
      <c r="M255" s="14"/>
    </row>
    <row r="256" ht="20" customHeight="1" spans="2:13" x14ac:dyDescent="0.25">
      <c r="B256" s="11"/>
      <c r="C256" s="11"/>
      <c r="D256" s="12"/>
      <c r="E256" s="12"/>
      <c r="F256" s="12"/>
      <c r="G256" s="29">
        <f>IF(AND(E256&lt;&gt;"",F256&lt;&gt;""),MAX(1,F256-E256),"")</f>
      </c>
      <c r="H256" s="12"/>
      <c r="I256" s="12"/>
      <c r="J256" s="12"/>
      <c r="K256" s="12"/>
      <c r="L256" s="30">
        <f>IF(H256="","",H256+I256-J256-K256)</f>
      </c>
      <c r="M256" s="12"/>
    </row>
    <row r="257" ht="20" customHeight="1" spans="2:13" x14ac:dyDescent="0.25">
      <c r="B257" s="13"/>
      <c r="C257" s="13"/>
      <c r="D257" s="14"/>
      <c r="E257" s="14"/>
      <c r="F257" s="14"/>
      <c r="G257" s="26">
        <f>IF(AND(E257&lt;&gt;"",F257&lt;&gt;""),MAX(1,F257-E257),"")</f>
      </c>
      <c r="H257" s="14"/>
      <c r="I257" s="14"/>
      <c r="J257" s="14"/>
      <c r="K257" s="14"/>
      <c r="L257" s="27">
        <f>IF(H257="","",H257+I257-J257-K257)</f>
      </c>
      <c r="M257" s="14"/>
    </row>
    <row r="258" ht="20" customHeight="1" spans="2:13" x14ac:dyDescent="0.25">
      <c r="B258" s="11"/>
      <c r="C258" s="11"/>
      <c r="D258" s="12"/>
      <c r="E258" s="12"/>
      <c r="F258" s="12"/>
      <c r="G258" s="29">
        <f>IF(AND(E258&lt;&gt;"",F258&lt;&gt;""),MAX(1,F258-E258),"")</f>
      </c>
      <c r="H258" s="12"/>
      <c r="I258" s="12"/>
      <c r="J258" s="12"/>
      <c r="K258" s="12"/>
      <c r="L258" s="30">
        <f>IF(H258="","",H258+I258-J258-K258)</f>
      </c>
      <c r="M258" s="12"/>
    </row>
    <row r="259" ht="20" customHeight="1" spans="2:13" x14ac:dyDescent="0.25">
      <c r="B259" s="13"/>
      <c r="C259" s="13"/>
      <c r="D259" s="14"/>
      <c r="E259" s="14"/>
      <c r="F259" s="14"/>
      <c r="G259" s="26">
        <f>IF(AND(E259&lt;&gt;"",F259&lt;&gt;""),MAX(1,F259-E259),"")</f>
      </c>
      <c r="H259" s="14"/>
      <c r="I259" s="14"/>
      <c r="J259" s="14"/>
      <c r="K259" s="14"/>
      <c r="L259" s="27">
        <f>IF(H259="","",H259+I259-J259-K259)</f>
      </c>
      <c r="M259" s="14"/>
    </row>
    <row r="260" ht="20" customHeight="1" spans="2:13" x14ac:dyDescent="0.25">
      <c r="B260" s="11"/>
      <c r="C260" s="11"/>
      <c r="D260" s="12"/>
      <c r="E260" s="12"/>
      <c r="F260" s="12"/>
      <c r="G260" s="29">
        <f>IF(AND(E260&lt;&gt;"",F260&lt;&gt;""),MAX(1,F260-E260),"")</f>
      </c>
      <c r="H260" s="12"/>
      <c r="I260" s="12"/>
      <c r="J260" s="12"/>
      <c r="K260" s="12"/>
      <c r="L260" s="30">
        <f>IF(H260="","",H260+I260-J260-K260)</f>
      </c>
      <c r="M260" s="12"/>
    </row>
    <row r="261" ht="20" customHeight="1" spans="2:13" x14ac:dyDescent="0.25">
      <c r="B261" s="13"/>
      <c r="C261" s="13"/>
      <c r="D261" s="14"/>
      <c r="E261" s="14"/>
      <c r="F261" s="14"/>
      <c r="G261" s="26">
        <f>IF(AND(E261&lt;&gt;"",F261&lt;&gt;""),MAX(1,F261-E261),"")</f>
      </c>
      <c r="H261" s="14"/>
      <c r="I261" s="14"/>
      <c r="J261" s="14"/>
      <c r="K261" s="14"/>
      <c r="L261" s="27">
        <f>IF(H261="","",H261+I261-J261-K261)</f>
      </c>
      <c r="M261" s="14"/>
    </row>
    <row r="262" ht="20" customHeight="1" spans="2:13" x14ac:dyDescent="0.25">
      <c r="B262" s="11"/>
      <c r="C262" s="11"/>
      <c r="D262" s="12"/>
      <c r="E262" s="12"/>
      <c r="F262" s="12"/>
      <c r="G262" s="29">
        <f>IF(AND(E262&lt;&gt;"",F262&lt;&gt;""),MAX(1,F262-E262),"")</f>
      </c>
      <c r="H262" s="12"/>
      <c r="I262" s="12"/>
      <c r="J262" s="12"/>
      <c r="K262" s="12"/>
      <c r="L262" s="30">
        <f>IF(H262="","",H262+I262-J262-K262)</f>
      </c>
      <c r="M262" s="12"/>
    </row>
    <row r="263" ht="20" customHeight="1" spans="2:13" x14ac:dyDescent="0.25">
      <c r="B263" s="13"/>
      <c r="C263" s="13"/>
      <c r="D263" s="14"/>
      <c r="E263" s="14"/>
      <c r="F263" s="14"/>
      <c r="G263" s="26">
        <f>IF(AND(E263&lt;&gt;"",F263&lt;&gt;""),MAX(1,F263-E263),"")</f>
      </c>
      <c r="H263" s="14"/>
      <c r="I263" s="14"/>
      <c r="J263" s="14"/>
      <c r="K263" s="14"/>
      <c r="L263" s="27">
        <f>IF(H263="","",H263+I263-J263-K263)</f>
      </c>
      <c r="M263" s="14"/>
    </row>
    <row r="264" ht="20" customHeight="1" spans="2:13" x14ac:dyDescent="0.25">
      <c r="B264" s="11"/>
      <c r="C264" s="11"/>
      <c r="D264" s="12"/>
      <c r="E264" s="12"/>
      <c r="F264" s="12"/>
      <c r="G264" s="29">
        <f>IF(AND(E264&lt;&gt;"",F264&lt;&gt;""),MAX(1,F264-E264),"")</f>
      </c>
      <c r="H264" s="12"/>
      <c r="I264" s="12"/>
      <c r="J264" s="12"/>
      <c r="K264" s="12"/>
      <c r="L264" s="30">
        <f>IF(H264="","",H264+I264-J264-K264)</f>
      </c>
      <c r="M264" s="12"/>
    </row>
    <row r="265" ht="20" customHeight="1" spans="2:13" x14ac:dyDescent="0.25">
      <c r="B265" s="13"/>
      <c r="C265" s="13"/>
      <c r="D265" s="14"/>
      <c r="E265" s="14"/>
      <c r="F265" s="14"/>
      <c r="G265" s="26">
        <f>IF(AND(E265&lt;&gt;"",F265&lt;&gt;""),MAX(1,F265-E265),"")</f>
      </c>
      <c r="H265" s="14"/>
      <c r="I265" s="14"/>
      <c r="J265" s="14"/>
      <c r="K265" s="14"/>
      <c r="L265" s="27">
        <f>IF(H265="","",H265+I265-J265-K265)</f>
      </c>
      <c r="M265" s="14"/>
    </row>
    <row r="266" ht="20" customHeight="1" spans="2:13" x14ac:dyDescent="0.25">
      <c r="B266" s="11"/>
      <c r="C266" s="11"/>
      <c r="D266" s="12"/>
      <c r="E266" s="12"/>
      <c r="F266" s="12"/>
      <c r="G266" s="29">
        <f>IF(AND(E266&lt;&gt;"",F266&lt;&gt;""),MAX(1,F266-E266),"")</f>
      </c>
      <c r="H266" s="12"/>
      <c r="I266" s="12"/>
      <c r="J266" s="12"/>
      <c r="K266" s="12"/>
      <c r="L266" s="30">
        <f>IF(H266="","",H266+I266-J266-K266)</f>
      </c>
      <c r="M266" s="12"/>
    </row>
    <row r="267" ht="20" customHeight="1" spans="2:13" x14ac:dyDescent="0.25">
      <c r="B267" s="13"/>
      <c r="C267" s="13"/>
      <c r="D267" s="14"/>
      <c r="E267" s="14"/>
      <c r="F267" s="14"/>
      <c r="G267" s="26">
        <f>IF(AND(E267&lt;&gt;"",F267&lt;&gt;""),MAX(1,F267-E267),"")</f>
      </c>
      <c r="H267" s="14"/>
      <c r="I267" s="14"/>
      <c r="J267" s="14"/>
      <c r="K267" s="14"/>
      <c r="L267" s="27">
        <f>IF(H267="","",H267+I267-J267-K267)</f>
      </c>
      <c r="M267" s="14"/>
    </row>
    <row r="268" ht="20" customHeight="1" spans="2:13" x14ac:dyDescent="0.25">
      <c r="B268" s="11"/>
      <c r="C268" s="11"/>
      <c r="D268" s="12"/>
      <c r="E268" s="12"/>
      <c r="F268" s="12"/>
      <c r="G268" s="29">
        <f>IF(AND(E268&lt;&gt;"",F268&lt;&gt;""),MAX(1,F268-E268),"")</f>
      </c>
      <c r="H268" s="12"/>
      <c r="I268" s="12"/>
      <c r="J268" s="12"/>
      <c r="K268" s="12"/>
      <c r="L268" s="30">
        <f>IF(H268="","",H268+I268-J268-K268)</f>
      </c>
      <c r="M268" s="12"/>
    </row>
    <row r="269" ht="20" customHeight="1" spans="2:13" x14ac:dyDescent="0.25">
      <c r="B269" s="13"/>
      <c r="C269" s="13"/>
      <c r="D269" s="14"/>
      <c r="E269" s="14"/>
      <c r="F269" s="14"/>
      <c r="G269" s="26">
        <f>IF(AND(E269&lt;&gt;"",F269&lt;&gt;""),MAX(1,F269-E269),"")</f>
      </c>
      <c r="H269" s="14"/>
      <c r="I269" s="14"/>
      <c r="J269" s="14"/>
      <c r="K269" s="14"/>
      <c r="L269" s="27">
        <f>IF(H269="","",H269+I269-J269-K269)</f>
      </c>
      <c r="M269" s="14"/>
    </row>
    <row r="270" ht="20" customHeight="1" spans="2:13" x14ac:dyDescent="0.25">
      <c r="B270" s="11"/>
      <c r="C270" s="11"/>
      <c r="D270" s="12"/>
      <c r="E270" s="12"/>
      <c r="F270" s="12"/>
      <c r="G270" s="29">
        <f>IF(AND(E270&lt;&gt;"",F270&lt;&gt;""),MAX(1,F270-E270),"")</f>
      </c>
      <c r="H270" s="12"/>
      <c r="I270" s="12"/>
      <c r="J270" s="12"/>
      <c r="K270" s="12"/>
      <c r="L270" s="30">
        <f>IF(H270="","",H270+I270-J270-K270)</f>
      </c>
      <c r="M270" s="12"/>
    </row>
    <row r="271" ht="20" customHeight="1" spans="2:13" x14ac:dyDescent="0.25">
      <c r="B271" s="13"/>
      <c r="C271" s="13"/>
      <c r="D271" s="14"/>
      <c r="E271" s="14"/>
      <c r="F271" s="14"/>
      <c r="G271" s="26">
        <f>IF(AND(E271&lt;&gt;"",F271&lt;&gt;""),MAX(1,F271-E271),"")</f>
      </c>
      <c r="H271" s="14"/>
      <c r="I271" s="14"/>
      <c r="J271" s="14"/>
      <c r="K271" s="14"/>
      <c r="L271" s="27">
        <f>IF(H271="","",H271+I271-J271-K271)</f>
      </c>
      <c r="M271" s="14"/>
    </row>
    <row r="272" ht="20" customHeight="1" spans="2:13" x14ac:dyDescent="0.25">
      <c r="B272" s="11"/>
      <c r="C272" s="11"/>
      <c r="D272" s="12"/>
      <c r="E272" s="12"/>
      <c r="F272" s="12"/>
      <c r="G272" s="29">
        <f>IF(AND(E272&lt;&gt;"",F272&lt;&gt;""),MAX(1,F272-E272),"")</f>
      </c>
      <c r="H272" s="12"/>
      <c r="I272" s="12"/>
      <c r="J272" s="12"/>
      <c r="K272" s="12"/>
      <c r="L272" s="30">
        <f>IF(H272="","",H272+I272-J272-K272)</f>
      </c>
      <c r="M272" s="12"/>
    </row>
    <row r="273" ht="20" customHeight="1" spans="2:13" x14ac:dyDescent="0.25">
      <c r="B273" s="13"/>
      <c r="C273" s="13"/>
      <c r="D273" s="14"/>
      <c r="E273" s="14"/>
      <c r="F273" s="14"/>
      <c r="G273" s="26">
        <f>IF(AND(E273&lt;&gt;"",F273&lt;&gt;""),MAX(1,F273-E273),"")</f>
      </c>
      <c r="H273" s="14"/>
      <c r="I273" s="14"/>
      <c r="J273" s="14"/>
      <c r="K273" s="14"/>
      <c r="L273" s="27">
        <f>IF(H273="","",H273+I273-J273-K273)</f>
      </c>
      <c r="M273" s="14"/>
    </row>
    <row r="274" ht="20" customHeight="1" spans="2:13" x14ac:dyDescent="0.25">
      <c r="B274" s="11"/>
      <c r="C274" s="11"/>
      <c r="D274" s="12"/>
      <c r="E274" s="12"/>
      <c r="F274" s="12"/>
      <c r="G274" s="29">
        <f>IF(AND(E274&lt;&gt;"",F274&lt;&gt;""),MAX(1,F274-E274),"")</f>
      </c>
      <c r="H274" s="12"/>
      <c r="I274" s="12"/>
      <c r="J274" s="12"/>
      <c r="K274" s="12"/>
      <c r="L274" s="30">
        <f>IF(H274="","",H274+I274-J274-K274)</f>
      </c>
      <c r="M274" s="12"/>
    </row>
    <row r="275" ht="20" customHeight="1" spans="2:13" x14ac:dyDescent="0.25">
      <c r="B275" s="13"/>
      <c r="C275" s="13"/>
      <c r="D275" s="14"/>
      <c r="E275" s="14"/>
      <c r="F275" s="14"/>
      <c r="G275" s="26">
        <f>IF(AND(E275&lt;&gt;"",F275&lt;&gt;""),MAX(1,F275-E275),"")</f>
      </c>
      <c r="H275" s="14"/>
      <c r="I275" s="14"/>
      <c r="J275" s="14"/>
      <c r="K275" s="14"/>
      <c r="L275" s="27">
        <f>IF(H275="","",H275+I275-J275-K275)</f>
      </c>
      <c r="M275" s="14"/>
    </row>
    <row r="276" ht="20" customHeight="1" spans="2:13" x14ac:dyDescent="0.25">
      <c r="B276" s="11"/>
      <c r="C276" s="11"/>
      <c r="D276" s="12"/>
      <c r="E276" s="12"/>
      <c r="F276" s="12"/>
      <c r="G276" s="29">
        <f>IF(AND(E276&lt;&gt;"",F276&lt;&gt;""),MAX(1,F276-E276),"")</f>
      </c>
      <c r="H276" s="12"/>
      <c r="I276" s="12"/>
      <c r="J276" s="12"/>
      <c r="K276" s="12"/>
      <c r="L276" s="30">
        <f>IF(H276="","",H276+I276-J276-K276)</f>
      </c>
      <c r="M276" s="12"/>
    </row>
    <row r="277" ht="20" customHeight="1" spans="2:13" x14ac:dyDescent="0.25">
      <c r="B277" s="13"/>
      <c r="C277" s="13"/>
      <c r="D277" s="14"/>
      <c r="E277" s="14"/>
      <c r="F277" s="14"/>
      <c r="G277" s="26">
        <f>IF(AND(E277&lt;&gt;"",F277&lt;&gt;""),MAX(1,F277-E277),"")</f>
      </c>
      <c r="H277" s="14"/>
      <c r="I277" s="14"/>
      <c r="J277" s="14"/>
      <c r="K277" s="14"/>
      <c r="L277" s="27">
        <f>IF(H277="","",H277+I277-J277-K277)</f>
      </c>
      <c r="M277" s="14"/>
    </row>
    <row r="278" ht="20" customHeight="1" spans="2:13" x14ac:dyDescent="0.25">
      <c r="B278" s="11"/>
      <c r="C278" s="11"/>
      <c r="D278" s="12"/>
      <c r="E278" s="12"/>
      <c r="F278" s="12"/>
      <c r="G278" s="29">
        <f>IF(AND(E278&lt;&gt;"",F278&lt;&gt;""),MAX(1,F278-E278),"")</f>
      </c>
      <c r="H278" s="12"/>
      <c r="I278" s="12"/>
      <c r="J278" s="12"/>
      <c r="K278" s="12"/>
      <c r="L278" s="30">
        <f>IF(H278="","",H278+I278-J278-K278)</f>
      </c>
      <c r="M278" s="12"/>
    </row>
    <row r="279" ht="20" customHeight="1" spans="2:13" x14ac:dyDescent="0.25">
      <c r="B279" s="13"/>
      <c r="C279" s="13"/>
      <c r="D279" s="14"/>
      <c r="E279" s="14"/>
      <c r="F279" s="14"/>
      <c r="G279" s="26">
        <f>IF(AND(E279&lt;&gt;"",F279&lt;&gt;""),MAX(1,F279-E279),"")</f>
      </c>
      <c r="H279" s="14"/>
      <c r="I279" s="14"/>
      <c r="J279" s="14"/>
      <c r="K279" s="14"/>
      <c r="L279" s="27">
        <f>IF(H279="","",H279+I279-J279-K279)</f>
      </c>
      <c r="M279" s="14"/>
    </row>
    <row r="280" ht="20" customHeight="1" spans="2:13" x14ac:dyDescent="0.25">
      <c r="B280" s="11"/>
      <c r="C280" s="11"/>
      <c r="D280" s="12"/>
      <c r="E280" s="12"/>
      <c r="F280" s="12"/>
      <c r="G280" s="29">
        <f>IF(AND(E280&lt;&gt;"",F280&lt;&gt;""),MAX(1,F280-E280),"")</f>
      </c>
      <c r="H280" s="12"/>
      <c r="I280" s="12"/>
      <c r="J280" s="12"/>
      <c r="K280" s="12"/>
      <c r="L280" s="30">
        <f>IF(H280="","",H280+I280-J280-K280)</f>
      </c>
      <c r="M280" s="12"/>
    </row>
    <row r="281" ht="20" customHeight="1" spans="2:13" x14ac:dyDescent="0.25">
      <c r="B281" s="13"/>
      <c r="C281" s="13"/>
      <c r="D281" s="14"/>
      <c r="E281" s="14"/>
      <c r="F281" s="14"/>
      <c r="G281" s="26">
        <f>IF(AND(E281&lt;&gt;"",F281&lt;&gt;""),MAX(1,F281-E281),"")</f>
      </c>
      <c r="H281" s="14"/>
      <c r="I281" s="14"/>
      <c r="J281" s="14"/>
      <c r="K281" s="14"/>
      <c r="L281" s="27">
        <f>IF(H281="","",H281+I281-J281-K281)</f>
      </c>
      <c r="M281" s="14"/>
    </row>
    <row r="282" ht="20" customHeight="1" spans="2:13" x14ac:dyDescent="0.25">
      <c r="B282" s="11"/>
      <c r="C282" s="11"/>
      <c r="D282" s="12"/>
      <c r="E282" s="12"/>
      <c r="F282" s="12"/>
      <c r="G282" s="29">
        <f>IF(AND(E282&lt;&gt;"",F282&lt;&gt;""),MAX(1,F282-E282),"")</f>
      </c>
      <c r="H282" s="12"/>
      <c r="I282" s="12"/>
      <c r="J282" s="12"/>
      <c r="K282" s="12"/>
      <c r="L282" s="30">
        <f>IF(H282="","",H282+I282-J282-K282)</f>
      </c>
      <c r="M282" s="12"/>
    </row>
    <row r="283" ht="20" customHeight="1" spans="2:13" x14ac:dyDescent="0.25">
      <c r="B283" s="13"/>
      <c r="C283" s="13"/>
      <c r="D283" s="14"/>
      <c r="E283" s="14"/>
      <c r="F283" s="14"/>
      <c r="G283" s="26">
        <f>IF(AND(E283&lt;&gt;"",F283&lt;&gt;""),MAX(1,F283-E283),"")</f>
      </c>
      <c r="H283" s="14"/>
      <c r="I283" s="14"/>
      <c r="J283" s="14"/>
      <c r="K283" s="14"/>
      <c r="L283" s="27">
        <f>IF(H283="","",H283+I283-J283-K283)</f>
      </c>
      <c r="M283" s="14"/>
    </row>
    <row r="284" ht="20" customHeight="1" spans="2:13" x14ac:dyDescent="0.25">
      <c r="B284" s="11"/>
      <c r="C284" s="11"/>
      <c r="D284" s="12"/>
      <c r="E284" s="12"/>
      <c r="F284" s="12"/>
      <c r="G284" s="29">
        <f>IF(AND(E284&lt;&gt;"",F284&lt;&gt;""),MAX(1,F284-E284),"")</f>
      </c>
      <c r="H284" s="12"/>
      <c r="I284" s="12"/>
      <c r="J284" s="12"/>
      <c r="K284" s="12"/>
      <c r="L284" s="30">
        <f>IF(H284="","",H284+I284-J284-K284)</f>
      </c>
      <c r="M284" s="12"/>
    </row>
    <row r="285" ht="20" customHeight="1" spans="2:13" x14ac:dyDescent="0.25">
      <c r="B285" s="13"/>
      <c r="C285" s="13"/>
      <c r="D285" s="14"/>
      <c r="E285" s="14"/>
      <c r="F285" s="14"/>
      <c r="G285" s="26">
        <f>IF(AND(E285&lt;&gt;"",F285&lt;&gt;""),MAX(1,F285-E285),"")</f>
      </c>
      <c r="H285" s="14"/>
      <c r="I285" s="14"/>
      <c r="J285" s="14"/>
      <c r="K285" s="14"/>
      <c r="L285" s="27">
        <f>IF(H285="","",H285+I285-J285-K285)</f>
      </c>
      <c r="M285" s="14"/>
    </row>
    <row r="286" ht="20" customHeight="1" spans="2:13" x14ac:dyDescent="0.25">
      <c r="B286" s="11"/>
      <c r="C286" s="11"/>
      <c r="D286" s="12"/>
      <c r="E286" s="12"/>
      <c r="F286" s="12"/>
      <c r="G286" s="29">
        <f>IF(AND(E286&lt;&gt;"",F286&lt;&gt;""),MAX(1,F286-E286),"")</f>
      </c>
      <c r="H286" s="12"/>
      <c r="I286" s="12"/>
      <c r="J286" s="12"/>
      <c r="K286" s="12"/>
      <c r="L286" s="30">
        <f>IF(H286="","",H286+I286-J286-K286)</f>
      </c>
      <c r="M286" s="12"/>
    </row>
    <row r="287" ht="20" customHeight="1" spans="2:13" x14ac:dyDescent="0.25">
      <c r="B287" s="13"/>
      <c r="C287" s="13"/>
      <c r="D287" s="14"/>
      <c r="E287" s="14"/>
      <c r="F287" s="14"/>
      <c r="G287" s="26">
        <f>IF(AND(E287&lt;&gt;"",F287&lt;&gt;""),MAX(1,F287-E287),"")</f>
      </c>
      <c r="H287" s="14"/>
      <c r="I287" s="14"/>
      <c r="J287" s="14"/>
      <c r="K287" s="14"/>
      <c r="L287" s="27">
        <f>IF(H287="","",H287+I287-J287-K287)</f>
      </c>
      <c r="M287" s="14"/>
    </row>
    <row r="288" ht="20" customHeight="1" spans="2:13" x14ac:dyDescent="0.25">
      <c r="B288" s="11"/>
      <c r="C288" s="11"/>
      <c r="D288" s="12"/>
      <c r="E288" s="12"/>
      <c r="F288" s="12"/>
      <c r="G288" s="29">
        <f>IF(AND(E288&lt;&gt;"",F288&lt;&gt;""),MAX(1,F288-E288),"")</f>
      </c>
      <c r="H288" s="12"/>
      <c r="I288" s="12"/>
      <c r="J288" s="12"/>
      <c r="K288" s="12"/>
      <c r="L288" s="30">
        <f>IF(H288="","",H288+I288-J288-K288)</f>
      </c>
      <c r="M288" s="12"/>
    </row>
    <row r="289" ht="20" customHeight="1" spans="2:13" x14ac:dyDescent="0.25">
      <c r="B289" s="13"/>
      <c r="C289" s="13"/>
      <c r="D289" s="14"/>
      <c r="E289" s="14"/>
      <c r="F289" s="14"/>
      <c r="G289" s="26">
        <f>IF(AND(E289&lt;&gt;"",F289&lt;&gt;""),MAX(1,F289-E289),"")</f>
      </c>
      <c r="H289" s="14"/>
      <c r="I289" s="14"/>
      <c r="J289" s="14"/>
      <c r="K289" s="14"/>
      <c r="L289" s="27">
        <f>IF(H289="","",H289+I289-J289-K289)</f>
      </c>
      <c r="M289" s="14"/>
    </row>
    <row r="290" ht="20" customHeight="1" spans="2:13" x14ac:dyDescent="0.25">
      <c r="B290" s="11"/>
      <c r="C290" s="11"/>
      <c r="D290" s="12"/>
      <c r="E290" s="12"/>
      <c r="F290" s="12"/>
      <c r="G290" s="29">
        <f>IF(AND(E290&lt;&gt;"",F290&lt;&gt;""),MAX(1,F290-E290),"")</f>
      </c>
      <c r="H290" s="12"/>
      <c r="I290" s="12"/>
      <c r="J290" s="12"/>
      <c r="K290" s="12"/>
      <c r="L290" s="30">
        <f>IF(H290="","",H290+I290-J290-K290)</f>
      </c>
      <c r="M290" s="12"/>
    </row>
    <row r="291" ht="20" customHeight="1" spans="2:13" x14ac:dyDescent="0.25">
      <c r="B291" s="13"/>
      <c r="C291" s="13"/>
      <c r="D291" s="14"/>
      <c r="E291" s="14"/>
      <c r="F291" s="14"/>
      <c r="G291" s="26">
        <f>IF(AND(E291&lt;&gt;"",F291&lt;&gt;""),MAX(1,F291-E291),"")</f>
      </c>
      <c r="H291" s="14"/>
      <c r="I291" s="14"/>
      <c r="J291" s="14"/>
      <c r="K291" s="14"/>
      <c r="L291" s="27">
        <f>IF(H291="","",H291+I291-J291-K291)</f>
      </c>
      <c r="M291" s="14"/>
    </row>
    <row r="292" ht="20" customHeight="1" spans="2:13" x14ac:dyDescent="0.25">
      <c r="B292" s="11"/>
      <c r="C292" s="11"/>
      <c r="D292" s="12"/>
      <c r="E292" s="12"/>
      <c r="F292" s="12"/>
      <c r="G292" s="29">
        <f>IF(AND(E292&lt;&gt;"",F292&lt;&gt;""),MAX(1,F292-E292),"")</f>
      </c>
      <c r="H292" s="12"/>
      <c r="I292" s="12"/>
      <c r="J292" s="12"/>
      <c r="K292" s="12"/>
      <c r="L292" s="30">
        <f>IF(H292="","",H292+I292-J292-K292)</f>
      </c>
      <c r="M292" s="12"/>
    </row>
    <row r="293" ht="20" customHeight="1" spans="2:13" x14ac:dyDescent="0.25">
      <c r="B293" s="13"/>
      <c r="C293" s="13"/>
      <c r="D293" s="14"/>
      <c r="E293" s="14"/>
      <c r="F293" s="14"/>
      <c r="G293" s="26">
        <f>IF(AND(E293&lt;&gt;"",F293&lt;&gt;""),MAX(1,F293-E293),"")</f>
      </c>
      <c r="H293" s="14"/>
      <c r="I293" s="14"/>
      <c r="J293" s="14"/>
      <c r="K293" s="14"/>
      <c r="L293" s="27">
        <f>IF(H293="","",H293+I293-J293-K293)</f>
      </c>
      <c r="M293" s="14"/>
    </row>
    <row r="294" ht="20" customHeight="1" spans="2:13" x14ac:dyDescent="0.25">
      <c r="B294" s="11"/>
      <c r="C294" s="11"/>
      <c r="D294" s="12"/>
      <c r="E294" s="12"/>
      <c r="F294" s="12"/>
      <c r="G294" s="29">
        <f>IF(AND(E294&lt;&gt;"",F294&lt;&gt;""),MAX(1,F294-E294),"")</f>
      </c>
      <c r="H294" s="12"/>
      <c r="I294" s="12"/>
      <c r="J294" s="12"/>
      <c r="K294" s="12"/>
      <c r="L294" s="30">
        <f>IF(H294="","",H294+I294-J294-K294)</f>
      </c>
      <c r="M294" s="12"/>
    </row>
    <row r="295" ht="20" customHeight="1" spans="2:13" x14ac:dyDescent="0.25">
      <c r="B295" s="13"/>
      <c r="C295" s="13"/>
      <c r="D295" s="14"/>
      <c r="E295" s="14"/>
      <c r="F295" s="14"/>
      <c r="G295" s="26">
        <f>IF(AND(E295&lt;&gt;"",F295&lt;&gt;""),MAX(1,F295-E295),"")</f>
      </c>
      <c r="H295" s="14"/>
      <c r="I295" s="14"/>
      <c r="J295" s="14"/>
      <c r="K295" s="14"/>
      <c r="L295" s="27">
        <f>IF(H295="","",H295+I295-J295-K295)</f>
      </c>
      <c r="M295" s="14"/>
    </row>
    <row r="296" ht="20" customHeight="1" spans="2:13" x14ac:dyDescent="0.25">
      <c r="B296" s="11"/>
      <c r="C296" s="11"/>
      <c r="D296" s="12"/>
      <c r="E296" s="12"/>
      <c r="F296" s="12"/>
      <c r="G296" s="29">
        <f>IF(AND(E296&lt;&gt;"",F296&lt;&gt;""),MAX(1,F296-E296),"")</f>
      </c>
      <c r="H296" s="12"/>
      <c r="I296" s="12"/>
      <c r="J296" s="12"/>
      <c r="K296" s="12"/>
      <c r="L296" s="30">
        <f>IF(H296="","",H296+I296-J296-K296)</f>
      </c>
      <c r="M296" s="12"/>
    </row>
    <row r="297" ht="20" customHeight="1" spans="2:13" x14ac:dyDescent="0.25">
      <c r="B297" s="13"/>
      <c r="C297" s="13"/>
      <c r="D297" s="14"/>
      <c r="E297" s="14"/>
      <c r="F297" s="14"/>
      <c r="G297" s="26">
        <f>IF(AND(E297&lt;&gt;"",F297&lt;&gt;""),MAX(1,F297-E297),"")</f>
      </c>
      <c r="H297" s="14"/>
      <c r="I297" s="14"/>
      <c r="J297" s="14"/>
      <c r="K297" s="14"/>
      <c r="L297" s="27">
        <f>IF(H297="","",H297+I297-J297-K297)</f>
      </c>
      <c r="M297" s="14"/>
    </row>
    <row r="298" ht="20" customHeight="1" spans="2:13" x14ac:dyDescent="0.25">
      <c r="B298" s="11"/>
      <c r="C298" s="11"/>
      <c r="D298" s="12"/>
      <c r="E298" s="12"/>
      <c r="F298" s="12"/>
      <c r="G298" s="29">
        <f>IF(AND(E298&lt;&gt;"",F298&lt;&gt;""),MAX(1,F298-E298),"")</f>
      </c>
      <c r="H298" s="12"/>
      <c r="I298" s="12"/>
      <c r="J298" s="12"/>
      <c r="K298" s="12"/>
      <c r="L298" s="30">
        <f>IF(H298="","",H298+I298-J298-K298)</f>
      </c>
      <c r="M298" s="12"/>
    </row>
    <row r="299" ht="20" customHeight="1" spans="2:13" x14ac:dyDescent="0.25">
      <c r="B299" s="13"/>
      <c r="C299" s="13"/>
      <c r="D299" s="14"/>
      <c r="E299" s="14"/>
      <c r="F299" s="14"/>
      <c r="G299" s="26">
        <f>IF(AND(E299&lt;&gt;"",F299&lt;&gt;""),MAX(1,F299-E299),"")</f>
      </c>
      <c r="H299" s="14"/>
      <c r="I299" s="14"/>
      <c r="J299" s="14"/>
      <c r="K299" s="14"/>
      <c r="L299" s="27">
        <f>IF(H299="","",H299+I299-J299-K299)</f>
      </c>
      <c r="M299" s="14"/>
    </row>
    <row r="300" ht="20" customHeight="1" spans="2:13" x14ac:dyDescent="0.25">
      <c r="B300" s="11"/>
      <c r="C300" s="11"/>
      <c r="D300" s="12"/>
      <c r="E300" s="12"/>
      <c r="F300" s="12"/>
      <c r="G300" s="29">
        <f>IF(AND(E300&lt;&gt;"",F300&lt;&gt;""),MAX(1,F300-E300),"")</f>
      </c>
      <c r="H300" s="12"/>
      <c r="I300" s="12"/>
      <c r="J300" s="12"/>
      <c r="K300" s="12"/>
      <c r="L300" s="30">
        <f>IF(H300="","",H300+I300-J300-K300)</f>
      </c>
      <c r="M300" s="12"/>
    </row>
    <row r="301" ht="20" customHeight="1" spans="2:13" x14ac:dyDescent="0.25">
      <c r="B301" s="13"/>
      <c r="C301" s="13"/>
      <c r="D301" s="14"/>
      <c r="E301" s="14"/>
      <c r="F301" s="14"/>
      <c r="G301" s="26">
        <f>IF(AND(E301&lt;&gt;"",F301&lt;&gt;""),MAX(1,F301-E301),"")</f>
      </c>
      <c r="H301" s="14"/>
      <c r="I301" s="14"/>
      <c r="J301" s="14"/>
      <c r="K301" s="14"/>
      <c r="L301" s="27">
        <f>IF(H301="","",H301+I301-J301-K301)</f>
      </c>
      <c r="M301" s="14"/>
    </row>
    <row r="302" ht="20" customHeight="1" spans="2:13" x14ac:dyDescent="0.25">
      <c r="B302" s="11"/>
      <c r="C302" s="11"/>
      <c r="D302" s="12"/>
      <c r="E302" s="12"/>
      <c r="F302" s="12"/>
      <c r="G302" s="29">
        <f>IF(AND(E302&lt;&gt;"",F302&lt;&gt;""),MAX(1,F302-E302),"")</f>
      </c>
      <c r="H302" s="12"/>
      <c r="I302" s="12"/>
      <c r="J302" s="12"/>
      <c r="K302" s="12"/>
      <c r="L302" s="30">
        <f>IF(H302="","",H302+I302-J302-K302)</f>
      </c>
      <c r="M302" s="12"/>
    </row>
    <row r="303" ht="20" customHeight="1" spans="2:13" x14ac:dyDescent="0.25">
      <c r="B303" s="13"/>
      <c r="C303" s="13"/>
      <c r="D303" s="14"/>
      <c r="E303" s="14"/>
      <c r="F303" s="14"/>
      <c r="G303" s="26">
        <f>IF(AND(E303&lt;&gt;"",F303&lt;&gt;""),MAX(1,F303-E303),"")</f>
      </c>
      <c r="H303" s="14"/>
      <c r="I303" s="14"/>
      <c r="J303" s="14"/>
      <c r="K303" s="14"/>
      <c r="L303" s="27">
        <f>IF(H303="","",H303+I303-J303-K303)</f>
      </c>
      <c r="M303" s="14"/>
    </row>
    <row r="304" ht="20" customHeight="1" spans="2:13" x14ac:dyDescent="0.25">
      <c r="B304" s="11"/>
      <c r="C304" s="11"/>
      <c r="D304" s="12"/>
      <c r="E304" s="12"/>
      <c r="F304" s="12"/>
      <c r="G304" s="29">
        <f>IF(AND(E304&lt;&gt;"",F304&lt;&gt;""),MAX(1,F304-E304),"")</f>
      </c>
      <c r="H304" s="12"/>
      <c r="I304" s="12"/>
      <c r="J304" s="12"/>
      <c r="K304" s="12"/>
      <c r="L304" s="30">
        <f>IF(H304="","",H304+I304-J304-K304)</f>
      </c>
      <c r="M304" s="12"/>
    </row>
    <row r="305" ht="20" customHeight="1" spans="2:13" x14ac:dyDescent="0.25">
      <c r="B305" s="13"/>
      <c r="C305" s="13"/>
      <c r="D305" s="14"/>
      <c r="E305" s="14"/>
      <c r="F305" s="14"/>
      <c r="G305" s="26">
        <f>IF(AND(E305&lt;&gt;"",F305&lt;&gt;""),MAX(1,F305-E305),"")</f>
      </c>
      <c r="H305" s="14"/>
      <c r="I305" s="14"/>
      <c r="J305" s="14"/>
      <c r="K305" s="14"/>
      <c r="L305" s="27">
        <f>IF(H305="","",H305+I305-J305-K305)</f>
      </c>
      <c r="M305" s="14"/>
    </row>
    <row r="306" ht="20" customHeight="1" spans="2:13" x14ac:dyDescent="0.25">
      <c r="B306" s="11"/>
      <c r="C306" s="11"/>
      <c r="D306" s="12"/>
      <c r="E306" s="12"/>
      <c r="F306" s="12"/>
      <c r="G306" s="29">
        <f>IF(AND(E306&lt;&gt;"",F306&lt;&gt;""),MAX(1,F306-E306),"")</f>
      </c>
      <c r="H306" s="12"/>
      <c r="I306" s="12"/>
      <c r="J306" s="12"/>
      <c r="K306" s="12"/>
      <c r="L306" s="30">
        <f>IF(H306="","",H306+I306-J306-K306)</f>
      </c>
      <c r="M306" s="12"/>
    </row>
    <row r="307" ht="20" customHeight="1" spans="2:13" x14ac:dyDescent="0.25">
      <c r="B307" s="13"/>
      <c r="C307" s="13"/>
      <c r="D307" s="14"/>
      <c r="E307" s="14"/>
      <c r="F307" s="14"/>
      <c r="G307" s="26">
        <f>IF(AND(E307&lt;&gt;"",F307&lt;&gt;""),MAX(1,F307-E307),"")</f>
      </c>
      <c r="H307" s="14"/>
      <c r="I307" s="14"/>
      <c r="J307" s="14"/>
      <c r="K307" s="14"/>
      <c r="L307" s="27">
        <f>IF(H307="","",H307+I307-J307-K307)</f>
      </c>
      <c r="M307" s="14"/>
    </row>
    <row r="308" ht="20" customHeight="1" spans="2:13" x14ac:dyDescent="0.25">
      <c r="B308" s="11"/>
      <c r="C308" s="11"/>
      <c r="D308" s="12"/>
      <c r="E308" s="12"/>
      <c r="F308" s="12"/>
      <c r="G308" s="29">
        <f>IF(AND(E308&lt;&gt;"",F308&lt;&gt;""),MAX(1,F308-E308),"")</f>
      </c>
      <c r="H308" s="12"/>
      <c r="I308" s="12"/>
      <c r="J308" s="12"/>
      <c r="K308" s="12"/>
      <c r="L308" s="30">
        <f>IF(H308="","",H308+I308-J308-K308)</f>
      </c>
      <c r="M308" s="12"/>
    </row>
    <row r="309" ht="20" customHeight="1" spans="2:13" x14ac:dyDescent="0.25">
      <c r="B309" s="13"/>
      <c r="C309" s="13"/>
      <c r="D309" s="14"/>
      <c r="E309" s="14"/>
      <c r="F309" s="14"/>
      <c r="G309" s="26">
        <f>IF(AND(E309&lt;&gt;"",F309&lt;&gt;""),MAX(1,F309-E309),"")</f>
      </c>
      <c r="H309" s="14"/>
      <c r="I309" s="14"/>
      <c r="J309" s="14"/>
      <c r="K309" s="14"/>
      <c r="L309" s="27">
        <f>IF(H309="","",H309+I309-J309-K309)</f>
      </c>
      <c r="M309" s="14"/>
    </row>
    <row r="310" ht="20" customHeight="1" spans="2:13" x14ac:dyDescent="0.25">
      <c r="B310" s="11"/>
      <c r="C310" s="11"/>
      <c r="D310" s="12"/>
      <c r="E310" s="12"/>
      <c r="F310" s="12"/>
      <c r="G310" s="29">
        <f>IF(AND(E310&lt;&gt;"",F310&lt;&gt;""),MAX(1,F310-E310),"")</f>
      </c>
      <c r="H310" s="12"/>
      <c r="I310" s="12"/>
      <c r="J310" s="12"/>
      <c r="K310" s="12"/>
      <c r="L310" s="30">
        <f>IF(H310="","",H310+I310-J310-K310)</f>
      </c>
      <c r="M310" s="12"/>
    </row>
    <row r="311" ht="20" customHeight="1" spans="2:13" x14ac:dyDescent="0.25">
      <c r="B311" s="13"/>
      <c r="C311" s="13"/>
      <c r="D311" s="14"/>
      <c r="E311" s="14"/>
      <c r="F311" s="14"/>
      <c r="G311" s="26">
        <f>IF(AND(E311&lt;&gt;"",F311&lt;&gt;""),MAX(1,F311-E311),"")</f>
      </c>
      <c r="H311" s="14"/>
      <c r="I311" s="14"/>
      <c r="J311" s="14"/>
      <c r="K311" s="14"/>
      <c r="L311" s="27">
        <f>IF(H311="","",H311+I311-J311-K311)</f>
      </c>
      <c r="M311" s="14"/>
    </row>
    <row r="312" ht="20" customHeight="1" spans="2:13" x14ac:dyDescent="0.25">
      <c r="B312" s="11"/>
      <c r="C312" s="11"/>
      <c r="D312" s="12"/>
      <c r="E312" s="12"/>
      <c r="F312" s="12"/>
      <c r="G312" s="29">
        <f>IF(AND(E312&lt;&gt;"",F312&lt;&gt;""),MAX(1,F312-E312),"")</f>
      </c>
      <c r="H312" s="12"/>
      <c r="I312" s="12"/>
      <c r="J312" s="12"/>
      <c r="K312" s="12"/>
      <c r="L312" s="30">
        <f>IF(H312="","",H312+I312-J312-K312)</f>
      </c>
      <c r="M312" s="12"/>
    </row>
    <row r="313" ht="20" customHeight="1" spans="2:13" x14ac:dyDescent="0.25">
      <c r="B313" s="13"/>
      <c r="C313" s="13"/>
      <c r="D313" s="14"/>
      <c r="E313" s="14"/>
      <c r="F313" s="14"/>
      <c r="G313" s="26">
        <f>IF(AND(E313&lt;&gt;"",F313&lt;&gt;""),MAX(1,F313-E313),"")</f>
      </c>
      <c r="H313" s="14"/>
      <c r="I313" s="14"/>
      <c r="J313" s="14"/>
      <c r="K313" s="14"/>
      <c r="L313" s="27">
        <f>IF(H313="","",H313+I313-J313-K313)</f>
      </c>
      <c r="M313" s="14"/>
    </row>
    <row r="314" ht="20" customHeight="1" spans="2:13" x14ac:dyDescent="0.25">
      <c r="B314" s="11"/>
      <c r="C314" s="11"/>
      <c r="D314" s="12"/>
      <c r="E314" s="12"/>
      <c r="F314" s="12"/>
      <c r="G314" s="29">
        <f>IF(AND(E314&lt;&gt;"",F314&lt;&gt;""),MAX(1,F314-E314),"")</f>
      </c>
      <c r="H314" s="12"/>
      <c r="I314" s="12"/>
      <c r="J314" s="12"/>
      <c r="K314" s="12"/>
      <c r="L314" s="30">
        <f>IF(H314="","",H314+I314-J314-K314)</f>
      </c>
      <c r="M314" s="12"/>
    </row>
    <row r="315" ht="20" customHeight="1" spans="2:13" x14ac:dyDescent="0.25">
      <c r="B315" s="13"/>
      <c r="C315" s="13"/>
      <c r="D315" s="14"/>
      <c r="E315" s="14"/>
      <c r="F315" s="14"/>
      <c r="G315" s="26">
        <f>IF(AND(E315&lt;&gt;"",F315&lt;&gt;""),MAX(1,F315-E315),"")</f>
      </c>
      <c r="H315" s="14"/>
      <c r="I315" s="14"/>
      <c r="J315" s="14"/>
      <c r="K315" s="14"/>
      <c r="L315" s="27">
        <f>IF(H315="","",H315+I315-J315-K315)</f>
      </c>
      <c r="M315" s="14"/>
    </row>
    <row r="316" ht="20" customHeight="1" spans="2:13" x14ac:dyDescent="0.25">
      <c r="B316" s="11"/>
      <c r="C316" s="11"/>
      <c r="D316" s="12"/>
      <c r="E316" s="12"/>
      <c r="F316" s="12"/>
      <c r="G316" s="29">
        <f>IF(AND(E316&lt;&gt;"",F316&lt;&gt;""),MAX(1,F316-E316),"")</f>
      </c>
      <c r="H316" s="12"/>
      <c r="I316" s="12"/>
      <c r="J316" s="12"/>
      <c r="K316" s="12"/>
      <c r="L316" s="30">
        <f>IF(H316="","",H316+I316-J316-K316)</f>
      </c>
      <c r="M316" s="12"/>
    </row>
    <row r="317" ht="20" customHeight="1" spans="2:13" x14ac:dyDescent="0.25">
      <c r="B317" s="13"/>
      <c r="C317" s="13"/>
      <c r="D317" s="14"/>
      <c r="E317" s="14"/>
      <c r="F317" s="14"/>
      <c r="G317" s="26">
        <f>IF(AND(E317&lt;&gt;"",F317&lt;&gt;""),MAX(1,F317-E317),"")</f>
      </c>
      <c r="H317" s="14"/>
      <c r="I317" s="14"/>
      <c r="J317" s="14"/>
      <c r="K317" s="14"/>
      <c r="L317" s="27">
        <f>IF(H317="","",H317+I317-J317-K317)</f>
      </c>
      <c r="M317" s="14"/>
    </row>
    <row r="318" ht="20" customHeight="1" spans="2:13" x14ac:dyDescent="0.25">
      <c r="B318" s="11"/>
      <c r="C318" s="11"/>
      <c r="D318" s="12"/>
      <c r="E318" s="12"/>
      <c r="F318" s="12"/>
      <c r="G318" s="29">
        <f>IF(AND(E318&lt;&gt;"",F318&lt;&gt;""),MAX(1,F318-E318),"")</f>
      </c>
      <c r="H318" s="12"/>
      <c r="I318" s="12"/>
      <c r="J318" s="12"/>
      <c r="K318" s="12"/>
      <c r="L318" s="30">
        <f>IF(H318="","",H318+I318-J318-K318)</f>
      </c>
      <c r="M318" s="12"/>
    </row>
    <row r="319" ht="20" customHeight="1" spans="2:13" x14ac:dyDescent="0.25">
      <c r="B319" s="13"/>
      <c r="C319" s="13"/>
      <c r="D319" s="14"/>
      <c r="E319" s="14"/>
      <c r="F319" s="14"/>
      <c r="G319" s="26">
        <f>IF(AND(E319&lt;&gt;"",F319&lt;&gt;""),MAX(1,F319-E319),"")</f>
      </c>
      <c r="H319" s="14"/>
      <c r="I319" s="14"/>
      <c r="J319" s="14"/>
      <c r="K319" s="14"/>
      <c r="L319" s="27">
        <f>IF(H319="","",H319+I319-J319-K319)</f>
      </c>
      <c r="M319" s="14"/>
    </row>
    <row r="320" ht="20" customHeight="1" spans="2:13" x14ac:dyDescent="0.25">
      <c r="B320" s="11"/>
      <c r="C320" s="11"/>
      <c r="D320" s="12"/>
      <c r="E320" s="12"/>
      <c r="F320" s="12"/>
      <c r="G320" s="29">
        <f>IF(AND(E320&lt;&gt;"",F320&lt;&gt;""),MAX(1,F320-E320),"")</f>
      </c>
      <c r="H320" s="12"/>
      <c r="I320" s="12"/>
      <c r="J320" s="12"/>
      <c r="K320" s="12"/>
      <c r="L320" s="30">
        <f>IF(H320="","",H320+I320-J320-K320)</f>
      </c>
      <c r="M320" s="12"/>
    </row>
    <row r="321" ht="20" customHeight="1" spans="2:13" x14ac:dyDescent="0.25">
      <c r="B321" s="13"/>
      <c r="C321" s="13"/>
      <c r="D321" s="14"/>
      <c r="E321" s="14"/>
      <c r="F321" s="14"/>
      <c r="G321" s="26">
        <f>IF(AND(E321&lt;&gt;"",F321&lt;&gt;""),MAX(1,F321-E321),"")</f>
      </c>
      <c r="H321" s="14"/>
      <c r="I321" s="14"/>
      <c r="J321" s="14"/>
      <c r="K321" s="14"/>
      <c r="L321" s="27">
        <f>IF(H321="","",H321+I321-J321-K321)</f>
      </c>
      <c r="M321" s="14"/>
    </row>
    <row r="322" ht="20" customHeight="1" spans="2:13" x14ac:dyDescent="0.25">
      <c r="B322" s="11"/>
      <c r="C322" s="11"/>
      <c r="D322" s="12"/>
      <c r="E322" s="12"/>
      <c r="F322" s="12"/>
      <c r="G322" s="29">
        <f>IF(AND(E322&lt;&gt;"",F322&lt;&gt;""),MAX(1,F322-E322),"")</f>
      </c>
      <c r="H322" s="12"/>
      <c r="I322" s="12"/>
      <c r="J322" s="12"/>
      <c r="K322" s="12"/>
      <c r="L322" s="30">
        <f>IF(H322="","",H322+I322-J322-K322)</f>
      </c>
      <c r="M322" s="12"/>
    </row>
    <row r="323" ht="20" customHeight="1" spans="2:13" x14ac:dyDescent="0.25">
      <c r="B323" s="13"/>
      <c r="C323" s="13"/>
      <c r="D323" s="14"/>
      <c r="E323" s="14"/>
      <c r="F323" s="14"/>
      <c r="G323" s="26">
        <f>IF(AND(E323&lt;&gt;"",F323&lt;&gt;""),MAX(1,F323-E323),"")</f>
      </c>
      <c r="H323" s="14"/>
      <c r="I323" s="14"/>
      <c r="J323" s="14"/>
      <c r="K323" s="14"/>
      <c r="L323" s="27">
        <f>IF(H323="","",H323+I323-J323-K323)</f>
      </c>
      <c r="M323" s="14"/>
    </row>
    <row r="324" ht="20" customHeight="1" spans="2:13" x14ac:dyDescent="0.25">
      <c r="B324" s="11"/>
      <c r="C324" s="11"/>
      <c r="D324" s="12"/>
      <c r="E324" s="12"/>
      <c r="F324" s="12"/>
      <c r="G324" s="29">
        <f>IF(AND(E324&lt;&gt;"",F324&lt;&gt;""),MAX(1,F324-E324),"")</f>
      </c>
      <c r="H324" s="12"/>
      <c r="I324" s="12"/>
      <c r="J324" s="12"/>
      <c r="K324" s="12"/>
      <c r="L324" s="30">
        <f>IF(H324="","",H324+I324-J324-K324)</f>
      </c>
      <c r="M324" s="12"/>
    </row>
    <row r="325" ht="20" customHeight="1" spans="2:13" x14ac:dyDescent="0.25">
      <c r="B325" s="13"/>
      <c r="C325" s="13"/>
      <c r="D325" s="14"/>
      <c r="E325" s="14"/>
      <c r="F325" s="14"/>
      <c r="G325" s="26">
        <f>IF(AND(E325&lt;&gt;"",F325&lt;&gt;""),MAX(1,F325-E325),"")</f>
      </c>
      <c r="H325" s="14"/>
      <c r="I325" s="14"/>
      <c r="J325" s="14"/>
      <c r="K325" s="14"/>
      <c r="L325" s="27">
        <f>IF(H325="","",H325+I325-J325-K325)</f>
      </c>
      <c r="M325" s="14"/>
    </row>
    <row r="326" ht="20" customHeight="1" spans="2:13" x14ac:dyDescent="0.25">
      <c r="B326" s="11"/>
      <c r="C326" s="11"/>
      <c r="D326" s="12"/>
      <c r="E326" s="12"/>
      <c r="F326" s="12"/>
      <c r="G326" s="29">
        <f>IF(AND(E326&lt;&gt;"",F326&lt;&gt;""),MAX(1,F326-E326),"")</f>
      </c>
      <c r="H326" s="12"/>
      <c r="I326" s="12"/>
      <c r="J326" s="12"/>
      <c r="K326" s="12"/>
      <c r="L326" s="30">
        <f>IF(H326="","",H326+I326-J326-K326)</f>
      </c>
      <c r="M326" s="12"/>
    </row>
    <row r="327" ht="20" customHeight="1" spans="2:13" x14ac:dyDescent="0.25">
      <c r="B327" s="13"/>
      <c r="C327" s="13"/>
      <c r="D327" s="14"/>
      <c r="E327" s="14"/>
      <c r="F327" s="14"/>
      <c r="G327" s="26">
        <f>IF(AND(E327&lt;&gt;"",F327&lt;&gt;""),MAX(1,F327-E327),"")</f>
      </c>
      <c r="H327" s="14"/>
      <c r="I327" s="14"/>
      <c r="J327" s="14"/>
      <c r="K327" s="14"/>
      <c r="L327" s="27">
        <f>IF(H327="","",H327+I327-J327-K327)</f>
      </c>
      <c r="M327" s="14"/>
    </row>
    <row r="328" ht="20" customHeight="1" spans="2:13" x14ac:dyDescent="0.25">
      <c r="B328" s="11"/>
      <c r="C328" s="11"/>
      <c r="D328" s="12"/>
      <c r="E328" s="12"/>
      <c r="F328" s="12"/>
      <c r="G328" s="29">
        <f>IF(AND(E328&lt;&gt;"",F328&lt;&gt;""),MAX(1,F328-E328),"")</f>
      </c>
      <c r="H328" s="12"/>
      <c r="I328" s="12"/>
      <c r="J328" s="12"/>
      <c r="K328" s="12"/>
      <c r="L328" s="30">
        <f>IF(H328="","",H328+I328-J328-K328)</f>
      </c>
      <c r="M328" s="12"/>
    </row>
    <row r="329" ht="20" customHeight="1" spans="2:13" x14ac:dyDescent="0.25">
      <c r="B329" s="13"/>
      <c r="C329" s="13"/>
      <c r="D329" s="14"/>
      <c r="E329" s="14"/>
      <c r="F329" s="14"/>
      <c r="G329" s="26">
        <f>IF(AND(E329&lt;&gt;"",F329&lt;&gt;""),MAX(1,F329-E329),"")</f>
      </c>
      <c r="H329" s="14"/>
      <c r="I329" s="14"/>
      <c r="J329" s="14"/>
      <c r="K329" s="14"/>
      <c r="L329" s="27">
        <f>IF(H329="","",H329+I329-J329-K329)</f>
      </c>
      <c r="M329" s="14"/>
    </row>
    <row r="330" ht="20" customHeight="1" spans="2:13" x14ac:dyDescent="0.25">
      <c r="B330" s="11"/>
      <c r="C330" s="11"/>
      <c r="D330" s="12"/>
      <c r="E330" s="12"/>
      <c r="F330" s="12"/>
      <c r="G330" s="29">
        <f>IF(AND(E330&lt;&gt;"",F330&lt;&gt;""),MAX(1,F330-E330),"")</f>
      </c>
      <c r="H330" s="12"/>
      <c r="I330" s="12"/>
      <c r="J330" s="12"/>
      <c r="K330" s="12"/>
      <c r="L330" s="30">
        <f>IF(H330="","",H330+I330-J330-K330)</f>
      </c>
      <c r="M330" s="12"/>
    </row>
    <row r="331" ht="20" customHeight="1" spans="2:13" x14ac:dyDescent="0.25">
      <c r="B331" s="13"/>
      <c r="C331" s="13"/>
      <c r="D331" s="14"/>
      <c r="E331" s="14"/>
      <c r="F331" s="14"/>
      <c r="G331" s="26">
        <f>IF(AND(E331&lt;&gt;"",F331&lt;&gt;""),MAX(1,F331-E331),"")</f>
      </c>
      <c r="H331" s="14"/>
      <c r="I331" s="14"/>
      <c r="J331" s="14"/>
      <c r="K331" s="14"/>
      <c r="L331" s="27">
        <f>IF(H331="","",H331+I331-J331-K331)</f>
      </c>
      <c r="M331" s="14"/>
    </row>
    <row r="332" ht="20" customHeight="1" spans="2:13" x14ac:dyDescent="0.25">
      <c r="B332" s="11"/>
      <c r="C332" s="11"/>
      <c r="D332" s="12"/>
      <c r="E332" s="12"/>
      <c r="F332" s="12"/>
      <c r="G332" s="29">
        <f>IF(AND(E332&lt;&gt;"",F332&lt;&gt;""),MAX(1,F332-E332),"")</f>
      </c>
      <c r="H332" s="12"/>
      <c r="I332" s="12"/>
      <c r="J332" s="12"/>
      <c r="K332" s="12"/>
      <c r="L332" s="30">
        <f>IF(H332="","",H332+I332-J332-K332)</f>
      </c>
      <c r="M332" s="12"/>
    </row>
    <row r="333" ht="20" customHeight="1" spans="2:13" x14ac:dyDescent="0.25">
      <c r="B333" s="13"/>
      <c r="C333" s="13"/>
      <c r="D333" s="14"/>
      <c r="E333" s="14"/>
      <c r="F333" s="14"/>
      <c r="G333" s="26">
        <f>IF(AND(E333&lt;&gt;"",F333&lt;&gt;""),MAX(1,F333-E333),"")</f>
      </c>
      <c r="H333" s="14"/>
      <c r="I333" s="14"/>
      <c r="J333" s="14"/>
      <c r="K333" s="14"/>
      <c r="L333" s="27">
        <f>IF(H333="","",H333+I333-J333-K333)</f>
      </c>
      <c r="M333" s="14"/>
    </row>
    <row r="334" ht="20" customHeight="1" spans="2:13" x14ac:dyDescent="0.25">
      <c r="B334" s="11"/>
      <c r="C334" s="11"/>
      <c r="D334" s="12"/>
      <c r="E334" s="12"/>
      <c r="F334" s="12"/>
      <c r="G334" s="29">
        <f>IF(AND(E334&lt;&gt;"",F334&lt;&gt;""),MAX(1,F334-E334),"")</f>
      </c>
      <c r="H334" s="12"/>
      <c r="I334" s="12"/>
      <c r="J334" s="12"/>
      <c r="K334" s="12"/>
      <c r="L334" s="30">
        <f>IF(H334="","",H334+I334-J334-K334)</f>
      </c>
      <c r="M334" s="12"/>
    </row>
    <row r="335" ht="20" customHeight="1" spans="2:13" x14ac:dyDescent="0.25">
      <c r="B335" s="13"/>
      <c r="C335" s="13"/>
      <c r="D335" s="14"/>
      <c r="E335" s="14"/>
      <c r="F335" s="14"/>
      <c r="G335" s="26">
        <f>IF(AND(E335&lt;&gt;"",F335&lt;&gt;""),MAX(1,F335-E335),"")</f>
      </c>
      <c r="H335" s="14"/>
      <c r="I335" s="14"/>
      <c r="J335" s="14"/>
      <c r="K335" s="14"/>
      <c r="L335" s="27">
        <f>IF(H335="","",H335+I335-J335-K335)</f>
      </c>
      <c r="M335" s="14"/>
    </row>
    <row r="336" ht="20" customHeight="1" spans="2:13" x14ac:dyDescent="0.25">
      <c r="B336" s="11"/>
      <c r="C336" s="11"/>
      <c r="D336" s="12"/>
      <c r="E336" s="12"/>
      <c r="F336" s="12"/>
      <c r="G336" s="29">
        <f>IF(AND(E336&lt;&gt;"",F336&lt;&gt;""),MAX(1,F336-E336),"")</f>
      </c>
      <c r="H336" s="12"/>
      <c r="I336" s="12"/>
      <c r="J336" s="12"/>
      <c r="K336" s="12"/>
      <c r="L336" s="30">
        <f>IF(H336="","",H336+I336-J336-K336)</f>
      </c>
      <c r="M336" s="12"/>
    </row>
    <row r="337" ht="20" customHeight="1" spans="2:13" x14ac:dyDescent="0.25">
      <c r="B337" s="13"/>
      <c r="C337" s="13"/>
      <c r="D337" s="14"/>
      <c r="E337" s="14"/>
      <c r="F337" s="14"/>
      <c r="G337" s="26">
        <f>IF(AND(E337&lt;&gt;"",F337&lt;&gt;""),MAX(1,F337-E337),"")</f>
      </c>
      <c r="H337" s="14"/>
      <c r="I337" s="14"/>
      <c r="J337" s="14"/>
      <c r="K337" s="14"/>
      <c r="L337" s="27">
        <f>IF(H337="","",H337+I337-J337-K337)</f>
      </c>
      <c r="M337" s="14"/>
    </row>
    <row r="338" ht="20" customHeight="1" spans="2:13" x14ac:dyDescent="0.25">
      <c r="B338" s="11"/>
      <c r="C338" s="11"/>
      <c r="D338" s="12"/>
      <c r="E338" s="12"/>
      <c r="F338" s="12"/>
      <c r="G338" s="29">
        <f>IF(AND(E338&lt;&gt;"",F338&lt;&gt;""),MAX(1,F338-E338),"")</f>
      </c>
      <c r="H338" s="12"/>
      <c r="I338" s="12"/>
      <c r="J338" s="12"/>
      <c r="K338" s="12"/>
      <c r="L338" s="30">
        <f>IF(H338="","",H338+I338-J338-K338)</f>
      </c>
      <c r="M338" s="12"/>
    </row>
    <row r="339" ht="20" customHeight="1" spans="2:13" x14ac:dyDescent="0.25">
      <c r="B339" s="13"/>
      <c r="C339" s="13"/>
      <c r="D339" s="14"/>
      <c r="E339" s="14"/>
      <c r="F339" s="14"/>
      <c r="G339" s="26">
        <f>IF(AND(E339&lt;&gt;"",F339&lt;&gt;""),MAX(1,F339-E339),"")</f>
      </c>
      <c r="H339" s="14"/>
      <c r="I339" s="14"/>
      <c r="J339" s="14"/>
      <c r="K339" s="14"/>
      <c r="L339" s="27">
        <f>IF(H339="","",H339+I339-J339-K339)</f>
      </c>
      <c r="M339" s="14"/>
    </row>
    <row r="340" ht="20" customHeight="1" spans="2:13" x14ac:dyDescent="0.25">
      <c r="B340" s="11"/>
      <c r="C340" s="11"/>
      <c r="D340" s="12"/>
      <c r="E340" s="12"/>
      <c r="F340" s="12"/>
      <c r="G340" s="29">
        <f>IF(AND(E340&lt;&gt;"",F340&lt;&gt;""),MAX(1,F340-E340),"")</f>
      </c>
      <c r="H340" s="12"/>
      <c r="I340" s="12"/>
      <c r="J340" s="12"/>
      <c r="K340" s="12"/>
      <c r="L340" s="30">
        <f>IF(H340="","",H340+I340-J340-K340)</f>
      </c>
      <c r="M340" s="12"/>
    </row>
    <row r="341" ht="20" customHeight="1" spans="2:13" x14ac:dyDescent="0.25">
      <c r="B341" s="13"/>
      <c r="C341" s="13"/>
      <c r="D341" s="14"/>
      <c r="E341" s="14"/>
      <c r="F341" s="14"/>
      <c r="G341" s="26">
        <f>IF(AND(E341&lt;&gt;"",F341&lt;&gt;""),MAX(1,F341-E341),"")</f>
      </c>
      <c r="H341" s="14"/>
      <c r="I341" s="14"/>
      <c r="J341" s="14"/>
      <c r="K341" s="14"/>
      <c r="L341" s="27">
        <f>IF(H341="","",H341+I341-J341-K341)</f>
      </c>
      <c r="M341" s="14"/>
    </row>
    <row r="342" ht="20" customHeight="1" spans="2:13" x14ac:dyDescent="0.25">
      <c r="B342" s="11"/>
      <c r="C342" s="11"/>
      <c r="D342" s="12"/>
      <c r="E342" s="12"/>
      <c r="F342" s="12"/>
      <c r="G342" s="29">
        <f>IF(AND(E342&lt;&gt;"",F342&lt;&gt;""),MAX(1,F342-E342),"")</f>
      </c>
      <c r="H342" s="12"/>
      <c r="I342" s="12"/>
      <c r="J342" s="12"/>
      <c r="K342" s="12"/>
      <c r="L342" s="30">
        <f>IF(H342="","",H342+I342-J342-K342)</f>
      </c>
      <c r="M342" s="12"/>
    </row>
    <row r="343" ht="20" customHeight="1" spans="2:13" x14ac:dyDescent="0.25">
      <c r="B343" s="13"/>
      <c r="C343" s="13"/>
      <c r="D343" s="14"/>
      <c r="E343" s="14"/>
      <c r="F343" s="14"/>
      <c r="G343" s="26">
        <f>IF(AND(E343&lt;&gt;"",F343&lt;&gt;""),MAX(1,F343-E343),"")</f>
      </c>
      <c r="H343" s="14"/>
      <c r="I343" s="14"/>
      <c r="J343" s="14"/>
      <c r="K343" s="14"/>
      <c r="L343" s="27">
        <f>IF(H343="","",H343+I343-J343-K343)</f>
      </c>
      <c r="M343" s="14"/>
    </row>
    <row r="344" ht="20" customHeight="1" spans="2:13" x14ac:dyDescent="0.25">
      <c r="B344" s="11"/>
      <c r="C344" s="11"/>
      <c r="D344" s="12"/>
      <c r="E344" s="12"/>
      <c r="F344" s="12"/>
      <c r="G344" s="29">
        <f>IF(AND(E344&lt;&gt;"",F344&lt;&gt;""),MAX(1,F344-E344),"")</f>
      </c>
      <c r="H344" s="12"/>
      <c r="I344" s="12"/>
      <c r="J344" s="12"/>
      <c r="K344" s="12"/>
      <c r="L344" s="30">
        <f>IF(H344="","",H344+I344-J344-K344)</f>
      </c>
      <c r="M344" s="12"/>
    </row>
    <row r="345" ht="20" customHeight="1" spans="2:13" x14ac:dyDescent="0.25">
      <c r="B345" s="13"/>
      <c r="C345" s="13"/>
      <c r="D345" s="14"/>
      <c r="E345" s="14"/>
      <c r="F345" s="14"/>
      <c r="G345" s="26">
        <f>IF(AND(E345&lt;&gt;"",F345&lt;&gt;""),MAX(1,F345-E345),"")</f>
      </c>
      <c r="H345" s="14"/>
      <c r="I345" s="14"/>
      <c r="J345" s="14"/>
      <c r="K345" s="14"/>
      <c r="L345" s="27">
        <f>IF(H345="","",H345+I345-J345-K345)</f>
      </c>
      <c r="M345" s="14"/>
    </row>
    <row r="346" ht="20" customHeight="1" spans="2:13" x14ac:dyDescent="0.25">
      <c r="B346" s="11"/>
      <c r="C346" s="11"/>
      <c r="D346" s="12"/>
      <c r="E346" s="12"/>
      <c r="F346" s="12"/>
      <c r="G346" s="29">
        <f>IF(AND(E346&lt;&gt;"",F346&lt;&gt;""),MAX(1,F346-E346),"")</f>
      </c>
      <c r="H346" s="12"/>
      <c r="I346" s="12"/>
      <c r="J346" s="12"/>
      <c r="K346" s="12"/>
      <c r="L346" s="30">
        <f>IF(H346="","",H346+I346-J346-K346)</f>
      </c>
      <c r="M346" s="12"/>
    </row>
    <row r="347" ht="20" customHeight="1" spans="2:13" x14ac:dyDescent="0.25">
      <c r="B347" s="13"/>
      <c r="C347" s="13"/>
      <c r="D347" s="14"/>
      <c r="E347" s="14"/>
      <c r="F347" s="14"/>
      <c r="G347" s="26">
        <f>IF(AND(E347&lt;&gt;"",F347&lt;&gt;""),MAX(1,F347-E347),"")</f>
      </c>
      <c r="H347" s="14"/>
      <c r="I347" s="14"/>
      <c r="J347" s="14"/>
      <c r="K347" s="14"/>
      <c r="L347" s="27">
        <f>IF(H347="","",H347+I347-J347-K347)</f>
      </c>
      <c r="M347" s="14"/>
    </row>
    <row r="348" ht="20" customHeight="1" spans="2:13" x14ac:dyDescent="0.25">
      <c r="B348" s="11"/>
      <c r="C348" s="11"/>
      <c r="D348" s="12"/>
      <c r="E348" s="12"/>
      <c r="F348" s="12"/>
      <c r="G348" s="29">
        <f>IF(AND(E348&lt;&gt;"",F348&lt;&gt;""),MAX(1,F348-E348),"")</f>
      </c>
      <c r="H348" s="12"/>
      <c r="I348" s="12"/>
      <c r="J348" s="12"/>
      <c r="K348" s="12"/>
      <c r="L348" s="30">
        <f>IF(H348="","",H348+I348-J348-K348)</f>
      </c>
      <c r="M348" s="12"/>
    </row>
    <row r="349" ht="20" customHeight="1" spans="2:13" x14ac:dyDescent="0.25">
      <c r="B349" s="13"/>
      <c r="C349" s="13"/>
      <c r="D349" s="14"/>
      <c r="E349" s="14"/>
      <c r="F349" s="14"/>
      <c r="G349" s="26">
        <f>IF(AND(E349&lt;&gt;"",F349&lt;&gt;""),MAX(1,F349-E349),"")</f>
      </c>
      <c r="H349" s="14"/>
      <c r="I349" s="14"/>
      <c r="J349" s="14"/>
      <c r="K349" s="14"/>
      <c r="L349" s="27">
        <f>IF(H349="","",H349+I349-J349-K349)</f>
      </c>
      <c r="M349" s="14"/>
    </row>
    <row r="350" ht="20" customHeight="1" spans="2:13" x14ac:dyDescent="0.25">
      <c r="B350" s="11"/>
      <c r="C350" s="11"/>
      <c r="D350" s="12"/>
      <c r="E350" s="12"/>
      <c r="F350" s="12"/>
      <c r="G350" s="29">
        <f>IF(AND(E350&lt;&gt;"",F350&lt;&gt;""),MAX(1,F350-E350),"")</f>
      </c>
      <c r="H350" s="12"/>
      <c r="I350" s="12"/>
      <c r="J350" s="12"/>
      <c r="K350" s="12"/>
      <c r="L350" s="30">
        <f>IF(H350="","",H350+I350-J350-K350)</f>
      </c>
      <c r="M350" s="12"/>
    </row>
    <row r="351" ht="20" customHeight="1" spans="2:13" x14ac:dyDescent="0.25">
      <c r="B351" s="13"/>
      <c r="C351" s="13"/>
      <c r="D351" s="14"/>
      <c r="E351" s="14"/>
      <c r="F351" s="14"/>
      <c r="G351" s="26">
        <f>IF(AND(E351&lt;&gt;"",F351&lt;&gt;""),MAX(1,F351-E351),"")</f>
      </c>
      <c r="H351" s="14"/>
      <c r="I351" s="14"/>
      <c r="J351" s="14"/>
      <c r="K351" s="14"/>
      <c r="L351" s="27">
        <f>IF(H351="","",H351+I351-J351-K351)</f>
      </c>
      <c r="M351" s="14"/>
    </row>
    <row r="352" ht="20" customHeight="1" spans="2:13" x14ac:dyDescent="0.25">
      <c r="B352" s="11"/>
      <c r="C352" s="11"/>
      <c r="D352" s="12"/>
      <c r="E352" s="12"/>
      <c r="F352" s="12"/>
      <c r="G352" s="29">
        <f>IF(AND(E352&lt;&gt;"",F352&lt;&gt;""),MAX(1,F352-E352),"")</f>
      </c>
      <c r="H352" s="12"/>
      <c r="I352" s="12"/>
      <c r="J352" s="12"/>
      <c r="K352" s="12"/>
      <c r="L352" s="30">
        <f>IF(H352="","",H352+I352-J352-K352)</f>
      </c>
      <c r="M352" s="12"/>
    </row>
    <row r="353" ht="20" customHeight="1" spans="2:13" x14ac:dyDescent="0.25">
      <c r="B353" s="13"/>
      <c r="C353" s="13"/>
      <c r="D353" s="14"/>
      <c r="E353" s="14"/>
      <c r="F353" s="14"/>
      <c r="G353" s="26">
        <f>IF(AND(E353&lt;&gt;"",F353&lt;&gt;""),MAX(1,F353-E353),"")</f>
      </c>
      <c r="H353" s="14"/>
      <c r="I353" s="14"/>
      <c r="J353" s="14"/>
      <c r="K353" s="14"/>
      <c r="L353" s="27">
        <f>IF(H353="","",H353+I353-J353-K353)</f>
      </c>
      <c r="M353" s="14"/>
    </row>
    <row r="354" ht="20" customHeight="1" spans="2:13" x14ac:dyDescent="0.25">
      <c r="B354" s="11"/>
      <c r="C354" s="11"/>
      <c r="D354" s="12"/>
      <c r="E354" s="12"/>
      <c r="F354" s="12"/>
      <c r="G354" s="29">
        <f>IF(AND(E354&lt;&gt;"",F354&lt;&gt;""),MAX(1,F354-E354),"")</f>
      </c>
      <c r="H354" s="12"/>
      <c r="I354" s="12"/>
      <c r="J354" s="12"/>
      <c r="K354" s="12"/>
      <c r="L354" s="30">
        <f>IF(H354="","",H354+I354-J354-K354)</f>
      </c>
      <c r="M354" s="12"/>
    </row>
    <row r="355" ht="20" customHeight="1" spans="2:13" x14ac:dyDescent="0.25">
      <c r="B355" s="13"/>
      <c r="C355" s="13"/>
      <c r="D355" s="14"/>
      <c r="E355" s="14"/>
      <c r="F355" s="14"/>
      <c r="G355" s="26">
        <f>IF(AND(E355&lt;&gt;"",F355&lt;&gt;""),MAX(1,F355-E355),"")</f>
      </c>
      <c r="H355" s="14"/>
      <c r="I355" s="14"/>
      <c r="J355" s="14"/>
      <c r="K355" s="14"/>
      <c r="L355" s="27">
        <f>IF(H355="","",H355+I355-J355-K355)</f>
      </c>
      <c r="M355" s="14"/>
    </row>
    <row r="356" ht="20" customHeight="1" spans="2:13" x14ac:dyDescent="0.25">
      <c r="B356" s="11"/>
      <c r="C356" s="11"/>
      <c r="D356" s="12"/>
      <c r="E356" s="12"/>
      <c r="F356" s="12"/>
      <c r="G356" s="29">
        <f>IF(AND(E356&lt;&gt;"",F356&lt;&gt;""),MAX(1,F356-E356),"")</f>
      </c>
      <c r="H356" s="12"/>
      <c r="I356" s="12"/>
      <c r="J356" s="12"/>
      <c r="K356" s="12"/>
      <c r="L356" s="30">
        <f>IF(H356="","",H356+I356-J356-K356)</f>
      </c>
      <c r="M356" s="12"/>
    </row>
    <row r="357" ht="20" customHeight="1" spans="2:13" x14ac:dyDescent="0.25">
      <c r="B357" s="13"/>
      <c r="C357" s="13"/>
      <c r="D357" s="14"/>
      <c r="E357" s="14"/>
      <c r="F357" s="14"/>
      <c r="G357" s="26">
        <f>IF(AND(E357&lt;&gt;"",F357&lt;&gt;""),MAX(1,F357-E357),"")</f>
      </c>
      <c r="H357" s="14"/>
      <c r="I357" s="14"/>
      <c r="J357" s="14"/>
      <c r="K357" s="14"/>
      <c r="L357" s="27">
        <f>IF(H357="","",H357+I357-J357-K357)</f>
      </c>
      <c r="M357" s="14"/>
    </row>
    <row r="358" ht="20" customHeight="1" spans="2:13" x14ac:dyDescent="0.25">
      <c r="B358" s="11"/>
      <c r="C358" s="11"/>
      <c r="D358" s="12"/>
      <c r="E358" s="12"/>
      <c r="F358" s="12"/>
      <c r="G358" s="29">
        <f>IF(AND(E358&lt;&gt;"",F358&lt;&gt;""),MAX(1,F358-E358),"")</f>
      </c>
      <c r="H358" s="12"/>
      <c r="I358" s="12"/>
      <c r="J358" s="12"/>
      <c r="K358" s="12"/>
      <c r="L358" s="30">
        <f>IF(H358="","",H358+I358-J358-K358)</f>
      </c>
      <c r="M358" s="12"/>
    </row>
    <row r="359" ht="20" customHeight="1" spans="2:13" x14ac:dyDescent="0.25">
      <c r="B359" s="13"/>
      <c r="C359" s="13"/>
      <c r="D359" s="14"/>
      <c r="E359" s="14"/>
      <c r="F359" s="14"/>
      <c r="G359" s="26">
        <f>IF(AND(E359&lt;&gt;"",F359&lt;&gt;""),MAX(1,F359-E359),"")</f>
      </c>
      <c r="H359" s="14"/>
      <c r="I359" s="14"/>
      <c r="J359" s="14"/>
      <c r="K359" s="14"/>
      <c r="L359" s="27">
        <f>IF(H359="","",H359+I359-J359-K359)</f>
      </c>
      <c r="M359" s="14"/>
    </row>
    <row r="360" ht="20" customHeight="1" spans="2:13" x14ac:dyDescent="0.25">
      <c r="B360" s="11"/>
      <c r="C360" s="11"/>
      <c r="D360" s="12"/>
      <c r="E360" s="12"/>
      <c r="F360" s="12"/>
      <c r="G360" s="29">
        <f>IF(AND(E360&lt;&gt;"",F360&lt;&gt;""),MAX(1,F360-E360),"")</f>
      </c>
      <c r="H360" s="12"/>
      <c r="I360" s="12"/>
      <c r="J360" s="12"/>
      <c r="K360" s="12"/>
      <c r="L360" s="30">
        <f>IF(H360="","",H360+I360-J360-K360)</f>
      </c>
      <c r="M360" s="12"/>
    </row>
    <row r="361" ht="20" customHeight="1" spans="2:13" x14ac:dyDescent="0.25">
      <c r="B361" s="13"/>
      <c r="C361" s="13"/>
      <c r="D361" s="14"/>
      <c r="E361" s="14"/>
      <c r="F361" s="14"/>
      <c r="G361" s="26">
        <f>IF(AND(E361&lt;&gt;"",F361&lt;&gt;""),MAX(1,F361-E361),"")</f>
      </c>
      <c r="H361" s="14"/>
      <c r="I361" s="14"/>
      <c r="J361" s="14"/>
      <c r="K361" s="14"/>
      <c r="L361" s="27">
        <f>IF(H361="","",H361+I361-J361-K361)</f>
      </c>
      <c r="M361" s="14"/>
    </row>
    <row r="362" ht="20" customHeight="1" spans="2:13" x14ac:dyDescent="0.25">
      <c r="B362" s="11"/>
      <c r="C362" s="11"/>
      <c r="D362" s="12"/>
      <c r="E362" s="12"/>
      <c r="F362" s="12"/>
      <c r="G362" s="29">
        <f>IF(AND(E362&lt;&gt;"",F362&lt;&gt;""),MAX(1,F362-E362),"")</f>
      </c>
      <c r="H362" s="12"/>
      <c r="I362" s="12"/>
      <c r="J362" s="12"/>
      <c r="K362" s="12"/>
      <c r="L362" s="30">
        <f>IF(H362="","",H362+I362-J362-K362)</f>
      </c>
      <c r="M362" s="12"/>
    </row>
    <row r="363" ht="20" customHeight="1" spans="2:13" x14ac:dyDescent="0.25">
      <c r="B363" s="13"/>
      <c r="C363" s="13"/>
      <c r="D363" s="14"/>
      <c r="E363" s="14"/>
      <c r="F363" s="14"/>
      <c r="G363" s="26">
        <f>IF(AND(E363&lt;&gt;"",F363&lt;&gt;""),MAX(1,F363-E363),"")</f>
      </c>
      <c r="H363" s="14"/>
      <c r="I363" s="14"/>
      <c r="J363" s="14"/>
      <c r="K363" s="14"/>
      <c r="L363" s="27">
        <f>IF(H363="","",H363+I363-J363-K363)</f>
      </c>
      <c r="M363" s="14"/>
    </row>
    <row r="364" ht="20" customHeight="1" spans="2:13" x14ac:dyDescent="0.25">
      <c r="B364" s="11"/>
      <c r="C364" s="11"/>
      <c r="D364" s="12"/>
      <c r="E364" s="12"/>
      <c r="F364" s="12"/>
      <c r="G364" s="29">
        <f>IF(AND(E364&lt;&gt;"",F364&lt;&gt;""),MAX(1,F364-E364),"")</f>
      </c>
      <c r="H364" s="12"/>
      <c r="I364" s="12"/>
      <c r="J364" s="12"/>
      <c r="K364" s="12"/>
      <c r="L364" s="30">
        <f>IF(H364="","",H364+I364-J364-K364)</f>
      </c>
      <c r="M364" s="12"/>
    </row>
    <row r="365" ht="20" customHeight="1" spans="2:13" x14ac:dyDescent="0.25">
      <c r="B365" s="13"/>
      <c r="C365" s="13"/>
      <c r="D365" s="14"/>
      <c r="E365" s="14"/>
      <c r="F365" s="14"/>
      <c r="G365" s="26">
        <f>IF(AND(E365&lt;&gt;"",F365&lt;&gt;""),MAX(1,F365-E365),"")</f>
      </c>
      <c r="H365" s="14"/>
      <c r="I365" s="14"/>
      <c r="J365" s="14"/>
      <c r="K365" s="14"/>
      <c r="L365" s="27">
        <f>IF(H365="","",H365+I365-J365-K365)</f>
      </c>
      <c r="M365" s="14"/>
    </row>
    <row r="366" ht="20" customHeight="1" spans="2:13" x14ac:dyDescent="0.25">
      <c r="B366" s="11"/>
      <c r="C366" s="11"/>
      <c r="D366" s="12"/>
      <c r="E366" s="12"/>
      <c r="F366" s="12"/>
      <c r="G366" s="29">
        <f>IF(AND(E366&lt;&gt;"",F366&lt;&gt;""),MAX(1,F366-E366),"")</f>
      </c>
      <c r="H366" s="12"/>
      <c r="I366" s="12"/>
      <c r="J366" s="12"/>
      <c r="K366" s="12"/>
      <c r="L366" s="30">
        <f>IF(H366="","",H366+I366-J366-K366)</f>
      </c>
      <c r="M366" s="12"/>
    </row>
    <row r="367" ht="20" customHeight="1" spans="2:13" x14ac:dyDescent="0.25">
      <c r="B367" s="13"/>
      <c r="C367" s="13"/>
      <c r="D367" s="14"/>
      <c r="E367" s="14"/>
      <c r="F367" s="14"/>
      <c r="G367" s="26">
        <f>IF(AND(E367&lt;&gt;"",F367&lt;&gt;""),MAX(1,F367-E367),"")</f>
      </c>
      <c r="H367" s="14"/>
      <c r="I367" s="14"/>
      <c r="J367" s="14"/>
      <c r="K367" s="14"/>
      <c r="L367" s="27">
        <f>IF(H367="","",H367+I367-J367-K367)</f>
      </c>
      <c r="M367" s="14"/>
    </row>
    <row r="368" ht="20" customHeight="1" spans="2:13" x14ac:dyDescent="0.25">
      <c r="B368" s="11"/>
      <c r="C368" s="11"/>
      <c r="D368" s="12"/>
      <c r="E368" s="12"/>
      <c r="F368" s="12"/>
      <c r="G368" s="29">
        <f>IF(AND(E368&lt;&gt;"",F368&lt;&gt;""),MAX(1,F368-E368),"")</f>
      </c>
      <c r="H368" s="12"/>
      <c r="I368" s="12"/>
      <c r="J368" s="12"/>
      <c r="K368" s="12"/>
      <c r="L368" s="30">
        <f>IF(H368="","",H368+I368-J368-K368)</f>
      </c>
      <c r="M368" s="12"/>
    </row>
    <row r="369" ht="20" customHeight="1" spans="2:13" x14ac:dyDescent="0.25">
      <c r="B369" s="13"/>
      <c r="C369" s="13"/>
      <c r="D369" s="14"/>
      <c r="E369" s="14"/>
      <c r="F369" s="14"/>
      <c r="G369" s="26">
        <f>IF(AND(E369&lt;&gt;"",F369&lt;&gt;""),MAX(1,F369-E369),"")</f>
      </c>
      <c r="H369" s="14"/>
      <c r="I369" s="14"/>
      <c r="J369" s="14"/>
      <c r="K369" s="14"/>
      <c r="L369" s="27">
        <f>IF(H369="","",H369+I369-J369-K369)</f>
      </c>
      <c r="M369" s="14"/>
    </row>
    <row r="370" ht="20" customHeight="1" spans="2:13" x14ac:dyDescent="0.25">
      <c r="B370" s="11"/>
      <c r="C370" s="11"/>
      <c r="D370" s="12"/>
      <c r="E370" s="12"/>
      <c r="F370" s="12"/>
      <c r="G370" s="29">
        <f>IF(AND(E370&lt;&gt;"",F370&lt;&gt;""),MAX(1,F370-E370),"")</f>
      </c>
      <c r="H370" s="12"/>
      <c r="I370" s="12"/>
      <c r="J370" s="12"/>
      <c r="K370" s="12"/>
      <c r="L370" s="30">
        <f>IF(H370="","",H370+I370-J370-K370)</f>
      </c>
      <c r="M370" s="12"/>
    </row>
    <row r="371" ht="20" customHeight="1" spans="2:13" x14ac:dyDescent="0.25">
      <c r="B371" s="13"/>
      <c r="C371" s="13"/>
      <c r="D371" s="14"/>
      <c r="E371" s="14"/>
      <c r="F371" s="14"/>
      <c r="G371" s="26">
        <f>IF(AND(E371&lt;&gt;"",F371&lt;&gt;""),MAX(1,F371-E371),"")</f>
      </c>
      <c r="H371" s="14"/>
      <c r="I371" s="14"/>
      <c r="J371" s="14"/>
      <c r="K371" s="14"/>
      <c r="L371" s="27">
        <f>IF(H371="","",H371+I371-J371-K371)</f>
      </c>
      <c r="M371" s="14"/>
    </row>
    <row r="372" ht="20" customHeight="1" spans="2:13" x14ac:dyDescent="0.25">
      <c r="B372" s="11"/>
      <c r="C372" s="11"/>
      <c r="D372" s="12"/>
      <c r="E372" s="12"/>
      <c r="F372" s="12"/>
      <c r="G372" s="29">
        <f>IF(AND(E372&lt;&gt;"",F372&lt;&gt;""),MAX(1,F372-E372),"")</f>
      </c>
      <c r="H372" s="12"/>
      <c r="I372" s="12"/>
      <c r="J372" s="12"/>
      <c r="K372" s="12"/>
      <c r="L372" s="30">
        <f>IF(H372="","",H372+I372-J372-K372)</f>
      </c>
      <c r="M372" s="12"/>
    </row>
    <row r="373" ht="20" customHeight="1" spans="2:13" x14ac:dyDescent="0.25">
      <c r="B373" s="13"/>
      <c r="C373" s="13"/>
      <c r="D373" s="14"/>
      <c r="E373" s="14"/>
      <c r="F373" s="14"/>
      <c r="G373" s="26">
        <f>IF(AND(E373&lt;&gt;"",F373&lt;&gt;""),MAX(1,F373-E373),"")</f>
      </c>
      <c r="H373" s="14"/>
      <c r="I373" s="14"/>
      <c r="J373" s="14"/>
      <c r="K373" s="14"/>
      <c r="L373" s="27">
        <f>IF(H373="","",H373+I373-J373-K373)</f>
      </c>
      <c r="M373" s="14"/>
    </row>
    <row r="374" ht="20" customHeight="1" spans="2:13" x14ac:dyDescent="0.25">
      <c r="B374" s="11"/>
      <c r="C374" s="11"/>
      <c r="D374" s="12"/>
      <c r="E374" s="12"/>
      <c r="F374" s="12"/>
      <c r="G374" s="29">
        <f>IF(AND(E374&lt;&gt;"",F374&lt;&gt;""),MAX(1,F374-E374),"")</f>
      </c>
      <c r="H374" s="12"/>
      <c r="I374" s="12"/>
      <c r="J374" s="12"/>
      <c r="K374" s="12"/>
      <c r="L374" s="30">
        <f>IF(H374="","",H374+I374-J374-K374)</f>
      </c>
      <c r="M374" s="12"/>
    </row>
    <row r="375" ht="20" customHeight="1" spans="2:13" x14ac:dyDescent="0.25">
      <c r="B375" s="13"/>
      <c r="C375" s="13"/>
      <c r="D375" s="14"/>
      <c r="E375" s="14"/>
      <c r="F375" s="14"/>
      <c r="G375" s="26">
        <f>IF(AND(E375&lt;&gt;"",F375&lt;&gt;""),MAX(1,F375-E375),"")</f>
      </c>
      <c r="H375" s="14"/>
      <c r="I375" s="14"/>
      <c r="J375" s="14"/>
      <c r="K375" s="14"/>
      <c r="L375" s="27">
        <f>IF(H375="","",H375+I375-J375-K375)</f>
      </c>
      <c r="M375" s="14"/>
    </row>
    <row r="376" ht="20" customHeight="1" spans="2:13" x14ac:dyDescent="0.25">
      <c r="B376" s="11"/>
      <c r="C376" s="11"/>
      <c r="D376" s="12"/>
      <c r="E376" s="12"/>
      <c r="F376" s="12"/>
      <c r="G376" s="29">
        <f>IF(AND(E376&lt;&gt;"",F376&lt;&gt;""),MAX(1,F376-E376),"")</f>
      </c>
      <c r="H376" s="12"/>
      <c r="I376" s="12"/>
      <c r="J376" s="12"/>
      <c r="K376" s="12"/>
      <c r="L376" s="30">
        <f>IF(H376="","",H376+I376-J376-K376)</f>
      </c>
      <c r="M376" s="12"/>
    </row>
    <row r="377" ht="20" customHeight="1" spans="2:13" x14ac:dyDescent="0.25">
      <c r="B377" s="13"/>
      <c r="C377" s="13"/>
      <c r="D377" s="14"/>
      <c r="E377" s="14"/>
      <c r="F377" s="14"/>
      <c r="G377" s="26">
        <f>IF(AND(E377&lt;&gt;"",F377&lt;&gt;""),MAX(1,F377-E377),"")</f>
      </c>
      <c r="H377" s="14"/>
      <c r="I377" s="14"/>
      <c r="J377" s="14"/>
      <c r="K377" s="14"/>
      <c r="L377" s="27">
        <f>IF(H377="","",H377+I377-J377-K377)</f>
      </c>
      <c r="M377" s="14"/>
    </row>
    <row r="378" ht="20" customHeight="1" spans="2:13" x14ac:dyDescent="0.25">
      <c r="B378" s="11"/>
      <c r="C378" s="11"/>
      <c r="D378" s="12"/>
      <c r="E378" s="12"/>
      <c r="F378" s="12"/>
      <c r="G378" s="29">
        <f>IF(AND(E378&lt;&gt;"",F378&lt;&gt;""),MAX(1,F378-E378),"")</f>
      </c>
      <c r="H378" s="12"/>
      <c r="I378" s="12"/>
      <c r="J378" s="12"/>
      <c r="K378" s="12"/>
      <c r="L378" s="30">
        <f>IF(H378="","",H378+I378-J378-K378)</f>
      </c>
      <c r="M378" s="12"/>
    </row>
    <row r="379" ht="20" customHeight="1" spans="2:13" x14ac:dyDescent="0.25">
      <c r="B379" s="13"/>
      <c r="C379" s="13"/>
      <c r="D379" s="14"/>
      <c r="E379" s="14"/>
      <c r="F379" s="14"/>
      <c r="G379" s="26">
        <f>IF(AND(E379&lt;&gt;"",F379&lt;&gt;""),MAX(1,F379-E379),"")</f>
      </c>
      <c r="H379" s="14"/>
      <c r="I379" s="14"/>
      <c r="J379" s="14"/>
      <c r="K379" s="14"/>
      <c r="L379" s="27">
        <f>IF(H379="","",H379+I379-J379-K379)</f>
      </c>
      <c r="M379" s="14"/>
    </row>
    <row r="380" ht="20" customHeight="1" spans="2:13" x14ac:dyDescent="0.25">
      <c r="B380" s="11"/>
      <c r="C380" s="11"/>
      <c r="D380" s="12"/>
      <c r="E380" s="12"/>
      <c r="F380" s="12"/>
      <c r="G380" s="29">
        <f>IF(AND(E380&lt;&gt;"",F380&lt;&gt;""),MAX(1,F380-E380),"")</f>
      </c>
      <c r="H380" s="12"/>
      <c r="I380" s="12"/>
      <c r="J380" s="12"/>
      <c r="K380" s="12"/>
      <c r="L380" s="30">
        <f>IF(H380="","",H380+I380-J380-K380)</f>
      </c>
      <c r="M380" s="12"/>
    </row>
    <row r="381" ht="20" customHeight="1" spans="2:13" x14ac:dyDescent="0.25">
      <c r="B381" s="13"/>
      <c r="C381" s="13"/>
      <c r="D381" s="14"/>
      <c r="E381" s="14"/>
      <c r="F381" s="14"/>
      <c r="G381" s="26">
        <f>IF(AND(E381&lt;&gt;"",F381&lt;&gt;""),MAX(1,F381-E381),"")</f>
      </c>
      <c r="H381" s="14"/>
      <c r="I381" s="14"/>
      <c r="J381" s="14"/>
      <c r="K381" s="14"/>
      <c r="L381" s="27">
        <f>IF(H381="","",H381+I381-J381-K381)</f>
      </c>
      <c r="M381" s="14"/>
    </row>
    <row r="382" ht="20" customHeight="1" spans="2:13" x14ac:dyDescent="0.25">
      <c r="B382" s="11"/>
      <c r="C382" s="11"/>
      <c r="D382" s="12"/>
      <c r="E382" s="12"/>
      <c r="F382" s="12"/>
      <c r="G382" s="29">
        <f>IF(AND(E382&lt;&gt;"",F382&lt;&gt;""),MAX(1,F382-E382),"")</f>
      </c>
      <c r="H382" s="12"/>
      <c r="I382" s="12"/>
      <c r="J382" s="12"/>
      <c r="K382" s="12"/>
      <c r="L382" s="30">
        <f>IF(H382="","",H382+I382-J382-K382)</f>
      </c>
      <c r="M382" s="12"/>
    </row>
    <row r="383" ht="20" customHeight="1" spans="2:13" x14ac:dyDescent="0.25">
      <c r="B383" s="13"/>
      <c r="C383" s="13"/>
      <c r="D383" s="14"/>
      <c r="E383" s="14"/>
      <c r="F383" s="14"/>
      <c r="G383" s="26">
        <f>IF(AND(E383&lt;&gt;"",F383&lt;&gt;""),MAX(1,F383-E383),"")</f>
      </c>
      <c r="H383" s="14"/>
      <c r="I383" s="14"/>
      <c r="J383" s="14"/>
      <c r="K383" s="14"/>
      <c r="L383" s="27">
        <f>IF(H383="","",H383+I383-J383-K383)</f>
      </c>
      <c r="M383" s="14"/>
    </row>
    <row r="384" ht="20" customHeight="1" spans="2:13" x14ac:dyDescent="0.25">
      <c r="B384" s="11"/>
      <c r="C384" s="11"/>
      <c r="D384" s="12"/>
      <c r="E384" s="12"/>
      <c r="F384" s="12"/>
      <c r="G384" s="29">
        <f>IF(AND(E384&lt;&gt;"",F384&lt;&gt;""),MAX(1,F384-E384),"")</f>
      </c>
      <c r="H384" s="12"/>
      <c r="I384" s="12"/>
      <c r="J384" s="12"/>
      <c r="K384" s="12"/>
      <c r="L384" s="30">
        <f>IF(H384="","",H384+I384-J384-K384)</f>
      </c>
      <c r="M384" s="12"/>
    </row>
    <row r="385" ht="20" customHeight="1" spans="2:13" x14ac:dyDescent="0.25">
      <c r="B385" s="13"/>
      <c r="C385" s="13"/>
      <c r="D385" s="14"/>
      <c r="E385" s="14"/>
      <c r="F385" s="14"/>
      <c r="G385" s="26">
        <f>IF(AND(E385&lt;&gt;"",F385&lt;&gt;""),MAX(1,F385-E385),"")</f>
      </c>
      <c r="H385" s="14"/>
      <c r="I385" s="14"/>
      <c r="J385" s="14"/>
      <c r="K385" s="14"/>
      <c r="L385" s="27">
        <f>IF(H385="","",H385+I385-J385-K385)</f>
      </c>
      <c r="M385" s="14"/>
    </row>
    <row r="386" ht="20" customHeight="1" spans="2:13" x14ac:dyDescent="0.25">
      <c r="B386" s="11"/>
      <c r="C386" s="11"/>
      <c r="D386" s="12"/>
      <c r="E386" s="12"/>
      <c r="F386" s="12"/>
      <c r="G386" s="29">
        <f>IF(AND(E386&lt;&gt;"",F386&lt;&gt;""),MAX(1,F386-E386),"")</f>
      </c>
      <c r="H386" s="12"/>
      <c r="I386" s="12"/>
      <c r="J386" s="12"/>
      <c r="K386" s="12"/>
      <c r="L386" s="30">
        <f>IF(H386="","",H386+I386-J386-K386)</f>
      </c>
      <c r="M386" s="12"/>
    </row>
    <row r="387" ht="20" customHeight="1" spans="2:13" x14ac:dyDescent="0.25">
      <c r="B387" s="13"/>
      <c r="C387" s="13"/>
      <c r="D387" s="14"/>
      <c r="E387" s="14"/>
      <c r="F387" s="14"/>
      <c r="G387" s="26">
        <f>IF(AND(E387&lt;&gt;"",F387&lt;&gt;""),MAX(1,F387-E387),"")</f>
      </c>
      <c r="H387" s="14"/>
      <c r="I387" s="14"/>
      <c r="J387" s="14"/>
      <c r="K387" s="14"/>
      <c r="L387" s="27">
        <f>IF(H387="","",H387+I387-J387-K387)</f>
      </c>
      <c r="M387" s="14"/>
    </row>
    <row r="388" ht="20" customHeight="1" spans="2:13" x14ac:dyDescent="0.25">
      <c r="B388" s="11"/>
      <c r="C388" s="11"/>
      <c r="D388" s="12"/>
      <c r="E388" s="12"/>
      <c r="F388" s="12"/>
      <c r="G388" s="29">
        <f>IF(AND(E388&lt;&gt;"",F388&lt;&gt;""),MAX(1,F388-E388),"")</f>
      </c>
      <c r="H388" s="12"/>
      <c r="I388" s="12"/>
      <c r="J388" s="12"/>
      <c r="K388" s="12"/>
      <c r="L388" s="30">
        <f>IF(H388="","",H388+I388-J388-K388)</f>
      </c>
      <c r="M388" s="12"/>
    </row>
    <row r="389" ht="20" customHeight="1" spans="2:13" x14ac:dyDescent="0.25">
      <c r="B389" s="13"/>
      <c r="C389" s="13"/>
      <c r="D389" s="14"/>
      <c r="E389" s="14"/>
      <c r="F389" s="14"/>
      <c r="G389" s="26">
        <f>IF(AND(E389&lt;&gt;"",F389&lt;&gt;""),MAX(1,F389-E389),"")</f>
      </c>
      <c r="H389" s="14"/>
      <c r="I389" s="14"/>
      <c r="J389" s="14"/>
      <c r="K389" s="14"/>
      <c r="L389" s="27">
        <f>IF(H389="","",H389+I389-J389-K389)</f>
      </c>
      <c r="M389" s="14"/>
    </row>
    <row r="390" ht="20" customHeight="1" spans="2:13" x14ac:dyDescent="0.25">
      <c r="B390" s="11"/>
      <c r="C390" s="11"/>
      <c r="D390" s="12"/>
      <c r="E390" s="12"/>
      <c r="F390" s="12"/>
      <c r="G390" s="29">
        <f>IF(AND(E390&lt;&gt;"",F390&lt;&gt;""),MAX(1,F390-E390),"")</f>
      </c>
      <c r="H390" s="12"/>
      <c r="I390" s="12"/>
      <c r="J390" s="12"/>
      <c r="K390" s="12"/>
      <c r="L390" s="30">
        <f>IF(H390="","",H390+I390-J390-K390)</f>
      </c>
      <c r="M390" s="12"/>
    </row>
    <row r="391" ht="20" customHeight="1" spans="2:13" x14ac:dyDescent="0.25">
      <c r="B391" s="13"/>
      <c r="C391" s="13"/>
      <c r="D391" s="14"/>
      <c r="E391" s="14"/>
      <c r="F391" s="14"/>
      <c r="G391" s="26">
        <f>IF(AND(E391&lt;&gt;"",F391&lt;&gt;""),MAX(1,F391-E391),"")</f>
      </c>
      <c r="H391" s="14"/>
      <c r="I391" s="14"/>
      <c r="J391" s="14"/>
      <c r="K391" s="14"/>
      <c r="L391" s="27">
        <f>IF(H391="","",H391+I391-J391-K391)</f>
      </c>
      <c r="M391" s="14"/>
    </row>
    <row r="392" ht="20" customHeight="1" spans="2:13" x14ac:dyDescent="0.25">
      <c r="B392" s="11"/>
      <c r="C392" s="11"/>
      <c r="D392" s="12"/>
      <c r="E392" s="12"/>
      <c r="F392" s="12"/>
      <c r="G392" s="29">
        <f>IF(AND(E392&lt;&gt;"",F392&lt;&gt;""),MAX(1,F392-E392),"")</f>
      </c>
      <c r="H392" s="12"/>
      <c r="I392" s="12"/>
      <c r="J392" s="12"/>
      <c r="K392" s="12"/>
      <c r="L392" s="30">
        <f>IF(H392="","",H392+I392-J392-K392)</f>
      </c>
      <c r="M392" s="12"/>
    </row>
    <row r="393" ht="20" customHeight="1" spans="2:13" x14ac:dyDescent="0.25">
      <c r="B393" s="13"/>
      <c r="C393" s="13"/>
      <c r="D393" s="14"/>
      <c r="E393" s="14"/>
      <c r="F393" s="14"/>
      <c r="G393" s="26">
        <f>IF(AND(E393&lt;&gt;"",F393&lt;&gt;""),MAX(1,F393-E393),"")</f>
      </c>
      <c r="H393" s="14"/>
      <c r="I393" s="14"/>
      <c r="J393" s="14"/>
      <c r="K393" s="14"/>
      <c r="L393" s="27">
        <f>IF(H393="","",H393+I393-J393-K393)</f>
      </c>
      <c r="M393" s="14"/>
    </row>
    <row r="394" ht="20" customHeight="1" spans="2:13" x14ac:dyDescent="0.25">
      <c r="B394" s="11"/>
      <c r="C394" s="11"/>
      <c r="D394" s="12"/>
      <c r="E394" s="12"/>
      <c r="F394" s="12"/>
      <c r="G394" s="29">
        <f>IF(AND(E394&lt;&gt;"",F394&lt;&gt;""),MAX(1,F394-E394),"")</f>
      </c>
      <c r="H394" s="12"/>
      <c r="I394" s="12"/>
      <c r="J394" s="12"/>
      <c r="K394" s="12"/>
      <c r="L394" s="30">
        <f>IF(H394="","",H394+I394-J394-K394)</f>
      </c>
      <c r="M394" s="12"/>
    </row>
    <row r="395" ht="20" customHeight="1" spans="2:13" x14ac:dyDescent="0.25">
      <c r="B395" s="13"/>
      <c r="C395" s="13"/>
      <c r="D395" s="14"/>
      <c r="E395" s="14"/>
      <c r="F395" s="14"/>
      <c r="G395" s="26">
        <f>IF(AND(E395&lt;&gt;"",F395&lt;&gt;""),MAX(1,F395-E395),"")</f>
      </c>
      <c r="H395" s="14"/>
      <c r="I395" s="14"/>
      <c r="J395" s="14"/>
      <c r="K395" s="14"/>
      <c r="L395" s="27">
        <f>IF(H395="","",H395+I395-J395-K395)</f>
      </c>
      <c r="M395" s="14"/>
    </row>
    <row r="396" ht="20" customHeight="1" spans="2:13" x14ac:dyDescent="0.25">
      <c r="B396" s="11"/>
      <c r="C396" s="11"/>
      <c r="D396" s="12"/>
      <c r="E396" s="12"/>
      <c r="F396" s="12"/>
      <c r="G396" s="29">
        <f>IF(AND(E396&lt;&gt;"",F396&lt;&gt;""),MAX(1,F396-E396),"")</f>
      </c>
      <c r="H396" s="12"/>
      <c r="I396" s="12"/>
      <c r="J396" s="12"/>
      <c r="K396" s="12"/>
      <c r="L396" s="30">
        <f>IF(H396="","",H396+I396-J396-K396)</f>
      </c>
      <c r="M396" s="12"/>
    </row>
    <row r="397" ht="20" customHeight="1" spans="2:13" x14ac:dyDescent="0.25">
      <c r="B397" s="13"/>
      <c r="C397" s="13"/>
      <c r="D397" s="14"/>
      <c r="E397" s="14"/>
      <c r="F397" s="14"/>
      <c r="G397" s="26">
        <f>IF(AND(E397&lt;&gt;"",F397&lt;&gt;""),MAX(1,F397-E397),"")</f>
      </c>
      <c r="H397" s="14"/>
      <c r="I397" s="14"/>
      <c r="J397" s="14"/>
      <c r="K397" s="14"/>
      <c r="L397" s="27">
        <f>IF(H397="","",H397+I397-J397-K397)</f>
      </c>
      <c r="M397" s="14"/>
    </row>
    <row r="398" ht="20" customHeight="1" spans="2:13" x14ac:dyDescent="0.25">
      <c r="B398" s="11"/>
      <c r="C398" s="11"/>
      <c r="D398" s="12"/>
      <c r="E398" s="12"/>
      <c r="F398" s="12"/>
      <c r="G398" s="29">
        <f>IF(AND(E398&lt;&gt;"",F398&lt;&gt;""),MAX(1,F398-E398),"")</f>
      </c>
      <c r="H398" s="12"/>
      <c r="I398" s="12"/>
      <c r="J398" s="12"/>
      <c r="K398" s="12"/>
      <c r="L398" s="30">
        <f>IF(H398="","",H398+I398-J398-K398)</f>
      </c>
      <c r="M398" s="12"/>
    </row>
    <row r="399" ht="20" customHeight="1" spans="2:13" x14ac:dyDescent="0.25">
      <c r="B399" s="13"/>
      <c r="C399" s="13"/>
      <c r="D399" s="14"/>
      <c r="E399" s="14"/>
      <c r="F399" s="14"/>
      <c r="G399" s="26">
        <f>IF(AND(E399&lt;&gt;"",F399&lt;&gt;""),MAX(1,F399-E399),"")</f>
      </c>
      <c r="H399" s="14"/>
      <c r="I399" s="14"/>
      <c r="J399" s="14"/>
      <c r="K399" s="14"/>
      <c r="L399" s="27">
        <f>IF(H399="","",H399+I399-J399-K399)</f>
      </c>
      <c r="M399" s="14"/>
    </row>
    <row r="400" ht="20" customHeight="1" spans="2:13" x14ac:dyDescent="0.25">
      <c r="B400" s="11"/>
      <c r="C400" s="11"/>
      <c r="D400" s="12"/>
      <c r="E400" s="12"/>
      <c r="F400" s="12"/>
      <c r="G400" s="29">
        <f>IF(AND(E400&lt;&gt;"",F400&lt;&gt;""),MAX(1,F400-E400),"")</f>
      </c>
      <c r="H400" s="12"/>
      <c r="I400" s="12"/>
      <c r="J400" s="12"/>
      <c r="K400" s="12"/>
      <c r="L400" s="30">
        <f>IF(H400="","",H400+I400-J400-K400)</f>
      </c>
      <c r="M400" s="12"/>
    </row>
    <row r="401" ht="20" customHeight="1" spans="2:13" x14ac:dyDescent="0.25">
      <c r="B401" s="13"/>
      <c r="C401" s="13"/>
      <c r="D401" s="14"/>
      <c r="E401" s="14"/>
      <c r="F401" s="14"/>
      <c r="G401" s="26">
        <f>IF(AND(E401&lt;&gt;"",F401&lt;&gt;""),MAX(1,F401-E401),"")</f>
      </c>
      <c r="H401" s="14"/>
      <c r="I401" s="14"/>
      <c r="J401" s="14"/>
      <c r="K401" s="14"/>
      <c r="L401" s="27">
        <f>IF(H401="","",H401+I401-J401-K401)</f>
      </c>
      <c r="M401" s="14"/>
    </row>
    <row r="402" ht="20" customHeight="1" spans="2:13" x14ac:dyDescent="0.25">
      <c r="B402" s="11"/>
      <c r="C402" s="11"/>
      <c r="D402" s="12"/>
      <c r="E402" s="12"/>
      <c r="F402" s="12"/>
      <c r="G402" s="29">
        <f>IF(AND(E402&lt;&gt;"",F402&lt;&gt;""),MAX(1,F402-E402),"")</f>
      </c>
      <c r="H402" s="12"/>
      <c r="I402" s="12"/>
      <c r="J402" s="12"/>
      <c r="K402" s="12"/>
      <c r="L402" s="30">
        <f>IF(H402="","",H402+I402-J402-K402)</f>
      </c>
      <c r="M402" s="12"/>
    </row>
    <row r="403" ht="20" customHeight="1" spans="2:13" x14ac:dyDescent="0.25">
      <c r="B403" s="13"/>
      <c r="C403" s="13"/>
      <c r="D403" s="14"/>
      <c r="E403" s="14"/>
      <c r="F403" s="14"/>
      <c r="G403" s="26">
        <f>IF(AND(E403&lt;&gt;"",F403&lt;&gt;""),MAX(1,F403-E403),"")</f>
      </c>
      <c r="H403" s="14"/>
      <c r="I403" s="14"/>
      <c r="J403" s="14"/>
      <c r="K403" s="14"/>
      <c r="L403" s="27">
        <f>IF(H403="","",H403+I403-J403-K403)</f>
      </c>
      <c r="M403" s="14"/>
    </row>
    <row r="404" ht="20" customHeight="1" spans="2:13" x14ac:dyDescent="0.25">
      <c r="B404" s="11"/>
      <c r="C404" s="11"/>
      <c r="D404" s="12"/>
      <c r="E404" s="12"/>
      <c r="F404" s="12"/>
      <c r="G404" s="29">
        <f>IF(AND(E404&lt;&gt;"",F404&lt;&gt;""),MAX(1,F404-E404),"")</f>
      </c>
      <c r="H404" s="12"/>
      <c r="I404" s="12"/>
      <c r="J404" s="12"/>
      <c r="K404" s="12"/>
      <c r="L404" s="30">
        <f>IF(H404="","",H404+I404-J404-K404)</f>
      </c>
      <c r="M404" s="12"/>
    </row>
    <row r="405" ht="20" customHeight="1" spans="2:13" x14ac:dyDescent="0.25">
      <c r="B405" s="13"/>
      <c r="C405" s="13"/>
      <c r="D405" s="14"/>
      <c r="E405" s="14"/>
      <c r="F405" s="14"/>
      <c r="G405" s="26">
        <f>IF(AND(E405&lt;&gt;"",F405&lt;&gt;""),MAX(1,F405-E405),"")</f>
      </c>
      <c r="H405" s="14"/>
      <c r="I405" s="14"/>
      <c r="J405" s="14"/>
      <c r="K405" s="14"/>
      <c r="L405" s="27">
        <f>IF(H405="","",H405+I405-J405-K405)</f>
      </c>
      <c r="M405" s="14"/>
    </row>
    <row r="406" ht="20" customHeight="1" spans="2:13" x14ac:dyDescent="0.25">
      <c r="B406" s="11"/>
      <c r="C406" s="11"/>
      <c r="D406" s="12"/>
      <c r="E406" s="12"/>
      <c r="F406" s="12"/>
      <c r="G406" s="29">
        <f>IF(AND(E406&lt;&gt;"",F406&lt;&gt;""),MAX(1,F406-E406),"")</f>
      </c>
      <c r="H406" s="12"/>
      <c r="I406" s="12"/>
      <c r="J406" s="12"/>
      <c r="K406" s="12"/>
      <c r="L406" s="30">
        <f>IF(H406="","",H406+I406-J406-K406)</f>
      </c>
      <c r="M406" s="12"/>
    </row>
    <row r="407" ht="20" customHeight="1" spans="2:13" x14ac:dyDescent="0.25">
      <c r="B407" s="13"/>
      <c r="C407" s="13"/>
      <c r="D407" s="14"/>
      <c r="E407" s="14"/>
      <c r="F407" s="14"/>
      <c r="G407" s="26">
        <f>IF(AND(E407&lt;&gt;"",F407&lt;&gt;""),MAX(1,F407-E407),"")</f>
      </c>
      <c r="H407" s="14"/>
      <c r="I407" s="14"/>
      <c r="J407" s="14"/>
      <c r="K407" s="14"/>
      <c r="L407" s="27">
        <f>IF(H407="","",H407+I407-J407-K407)</f>
      </c>
      <c r="M407" s="14"/>
    </row>
    <row r="408" ht="20" customHeight="1" spans="2:13" x14ac:dyDescent="0.25">
      <c r="B408" s="11"/>
      <c r="C408" s="11"/>
      <c r="D408" s="12"/>
      <c r="E408" s="12"/>
      <c r="F408" s="12"/>
      <c r="G408" s="29">
        <f>IF(AND(E408&lt;&gt;"",F408&lt;&gt;""),MAX(1,F408-E408),"")</f>
      </c>
      <c r="H408" s="12"/>
      <c r="I408" s="12"/>
      <c r="J408" s="12"/>
      <c r="K408" s="12"/>
      <c r="L408" s="30">
        <f>IF(H408="","",H408+I408-J408-K408)</f>
      </c>
      <c r="M408" s="12"/>
    </row>
    <row r="409" ht="20" customHeight="1" spans="2:13" x14ac:dyDescent="0.25">
      <c r="B409" s="13"/>
      <c r="C409" s="13"/>
      <c r="D409" s="14"/>
      <c r="E409" s="14"/>
      <c r="F409" s="14"/>
      <c r="G409" s="26">
        <f>IF(AND(E409&lt;&gt;"",F409&lt;&gt;""),MAX(1,F409-E409),"")</f>
      </c>
      <c r="H409" s="14"/>
      <c r="I409" s="14"/>
      <c r="J409" s="14"/>
      <c r="K409" s="14"/>
      <c r="L409" s="27">
        <f>IF(H409="","",H409+I409-J409-K409)</f>
      </c>
      <c r="M409" s="14"/>
    </row>
    <row r="410" ht="20" customHeight="1" spans="2:13" x14ac:dyDescent="0.25">
      <c r="B410" s="11"/>
      <c r="C410" s="11"/>
      <c r="D410" s="12"/>
      <c r="E410" s="12"/>
      <c r="F410" s="12"/>
      <c r="G410" s="29">
        <f>IF(AND(E410&lt;&gt;"",F410&lt;&gt;""),MAX(1,F410-E410),"")</f>
      </c>
      <c r="H410" s="12"/>
      <c r="I410" s="12"/>
      <c r="J410" s="12"/>
      <c r="K410" s="12"/>
      <c r="L410" s="30">
        <f>IF(H410="","",H410+I410-J410-K410)</f>
      </c>
      <c r="M410" s="12"/>
    </row>
    <row r="411" ht="20" customHeight="1" spans="2:13" x14ac:dyDescent="0.25">
      <c r="B411" s="13"/>
      <c r="C411" s="13"/>
      <c r="D411" s="14"/>
      <c r="E411" s="14"/>
      <c r="F411" s="14"/>
      <c r="G411" s="26">
        <f>IF(AND(E411&lt;&gt;"",F411&lt;&gt;""),MAX(1,F411-E411),"")</f>
      </c>
      <c r="H411" s="14"/>
      <c r="I411" s="14"/>
      <c r="J411" s="14"/>
      <c r="K411" s="14"/>
      <c r="L411" s="27">
        <f>IF(H411="","",H411+I411-J411-K411)</f>
      </c>
      <c r="M411" s="14"/>
    </row>
    <row r="412" ht="20" customHeight="1" spans="2:13" x14ac:dyDescent="0.25">
      <c r="B412" s="11"/>
      <c r="C412" s="11"/>
      <c r="D412" s="12"/>
      <c r="E412" s="12"/>
      <c r="F412" s="12"/>
      <c r="G412" s="29">
        <f>IF(AND(E412&lt;&gt;"",F412&lt;&gt;""),MAX(1,F412-E412),"")</f>
      </c>
      <c r="H412" s="12"/>
      <c r="I412" s="12"/>
      <c r="J412" s="12"/>
      <c r="K412" s="12"/>
      <c r="L412" s="30">
        <f>IF(H412="","",H412+I412-J412-K412)</f>
      </c>
      <c r="M412" s="12"/>
    </row>
    <row r="413" ht="20" customHeight="1" spans="2:13" x14ac:dyDescent="0.25">
      <c r="B413" s="13"/>
      <c r="C413" s="13"/>
      <c r="D413" s="14"/>
      <c r="E413" s="14"/>
      <c r="F413" s="14"/>
      <c r="G413" s="26">
        <f>IF(AND(E413&lt;&gt;"",F413&lt;&gt;""),MAX(1,F413-E413),"")</f>
      </c>
      <c r="H413" s="14"/>
      <c r="I413" s="14"/>
      <c r="J413" s="14"/>
      <c r="K413" s="14"/>
      <c r="L413" s="27">
        <f>IF(H413="","",H413+I413-J413-K413)</f>
      </c>
      <c r="M413" s="14"/>
    </row>
    <row r="414" ht="20" customHeight="1" spans="2:13" x14ac:dyDescent="0.25">
      <c r="B414" s="11"/>
      <c r="C414" s="11"/>
      <c r="D414" s="12"/>
      <c r="E414" s="12"/>
      <c r="F414" s="12"/>
      <c r="G414" s="29">
        <f>IF(AND(E414&lt;&gt;"",F414&lt;&gt;""),MAX(1,F414-E414),"")</f>
      </c>
      <c r="H414" s="12"/>
      <c r="I414" s="12"/>
      <c r="J414" s="12"/>
      <c r="K414" s="12"/>
      <c r="L414" s="30">
        <f>IF(H414="","",H414+I414-J414-K414)</f>
      </c>
      <c r="M414" s="12"/>
    </row>
    <row r="415" ht="20" customHeight="1" spans="2:13" x14ac:dyDescent="0.25">
      <c r="B415" s="13"/>
      <c r="C415" s="13"/>
      <c r="D415" s="14"/>
      <c r="E415" s="14"/>
      <c r="F415" s="14"/>
      <c r="G415" s="26">
        <f>IF(AND(E415&lt;&gt;"",F415&lt;&gt;""),MAX(1,F415-E415),"")</f>
      </c>
      <c r="H415" s="14"/>
      <c r="I415" s="14"/>
      <c r="J415" s="14"/>
      <c r="K415" s="14"/>
      <c r="L415" s="27">
        <f>IF(H415="","",H415+I415-J415-K415)</f>
      </c>
      <c r="M415" s="14"/>
    </row>
    <row r="416" ht="20" customHeight="1" spans="2:13" x14ac:dyDescent="0.25">
      <c r="B416" s="11"/>
      <c r="C416" s="11"/>
      <c r="D416" s="12"/>
      <c r="E416" s="12"/>
      <c r="F416" s="12"/>
      <c r="G416" s="29">
        <f>IF(AND(E416&lt;&gt;"",F416&lt;&gt;""),MAX(1,F416-E416),"")</f>
      </c>
      <c r="H416" s="12"/>
      <c r="I416" s="12"/>
      <c r="J416" s="12"/>
      <c r="K416" s="12"/>
      <c r="L416" s="30">
        <f>IF(H416="","",H416+I416-J416-K416)</f>
      </c>
      <c r="M416" s="12"/>
    </row>
    <row r="417" ht="20" customHeight="1" spans="2:13" x14ac:dyDescent="0.25">
      <c r="B417" s="13"/>
      <c r="C417" s="13"/>
      <c r="D417" s="14"/>
      <c r="E417" s="14"/>
      <c r="F417" s="14"/>
      <c r="G417" s="26">
        <f>IF(AND(E417&lt;&gt;"",F417&lt;&gt;""),MAX(1,F417-E417),"")</f>
      </c>
      <c r="H417" s="14"/>
      <c r="I417" s="14"/>
      <c r="J417" s="14"/>
      <c r="K417" s="14"/>
      <c r="L417" s="27">
        <f>IF(H417="","",H417+I417-J417-K417)</f>
      </c>
      <c r="M417" s="14"/>
    </row>
    <row r="418" ht="20" customHeight="1" spans="2:13" x14ac:dyDescent="0.25">
      <c r="B418" s="11"/>
      <c r="C418" s="11"/>
      <c r="D418" s="12"/>
      <c r="E418" s="12"/>
      <c r="F418" s="12"/>
      <c r="G418" s="29">
        <f>IF(AND(E418&lt;&gt;"",F418&lt;&gt;""),MAX(1,F418-E418),"")</f>
      </c>
      <c r="H418" s="12"/>
      <c r="I418" s="12"/>
      <c r="J418" s="12"/>
      <c r="K418" s="12"/>
      <c r="L418" s="30">
        <f>IF(H418="","",H418+I418-J418-K418)</f>
      </c>
      <c r="M418" s="12"/>
    </row>
    <row r="419" ht="20" customHeight="1" spans="2:13" x14ac:dyDescent="0.25">
      <c r="B419" s="13"/>
      <c r="C419" s="13"/>
      <c r="D419" s="14"/>
      <c r="E419" s="14"/>
      <c r="F419" s="14"/>
      <c r="G419" s="26">
        <f>IF(AND(E419&lt;&gt;"",F419&lt;&gt;""),MAX(1,F419-E419),"")</f>
      </c>
      <c r="H419" s="14"/>
      <c r="I419" s="14"/>
      <c r="J419" s="14"/>
      <c r="K419" s="14"/>
      <c r="L419" s="27">
        <f>IF(H419="","",H419+I419-J419-K419)</f>
      </c>
      <c r="M419" s="14"/>
    </row>
    <row r="420" ht="20" customHeight="1" spans="2:13" x14ac:dyDescent="0.25">
      <c r="B420" s="11"/>
      <c r="C420" s="11"/>
      <c r="D420" s="12"/>
      <c r="E420" s="12"/>
      <c r="F420" s="12"/>
      <c r="G420" s="29">
        <f>IF(AND(E420&lt;&gt;"",F420&lt;&gt;""),MAX(1,F420-E420),"")</f>
      </c>
      <c r="H420" s="12"/>
      <c r="I420" s="12"/>
      <c r="J420" s="12"/>
      <c r="K420" s="12"/>
      <c r="L420" s="30">
        <f>IF(H420="","",H420+I420-J420-K420)</f>
      </c>
      <c r="M420" s="12"/>
    </row>
    <row r="421" ht="20" customHeight="1" spans="2:13" x14ac:dyDescent="0.25">
      <c r="B421" s="13"/>
      <c r="C421" s="13"/>
      <c r="D421" s="14"/>
      <c r="E421" s="14"/>
      <c r="F421" s="14"/>
      <c r="G421" s="26">
        <f>IF(AND(E421&lt;&gt;"",F421&lt;&gt;""),MAX(1,F421-E421),"")</f>
      </c>
      <c r="H421" s="14"/>
      <c r="I421" s="14"/>
      <c r="J421" s="14"/>
      <c r="K421" s="14"/>
      <c r="L421" s="27">
        <f>IF(H421="","",H421+I421-J421-K421)</f>
      </c>
      <c r="M421" s="14"/>
    </row>
    <row r="422" ht="20" customHeight="1" spans="2:13" x14ac:dyDescent="0.25">
      <c r="B422" s="11"/>
      <c r="C422" s="11"/>
      <c r="D422" s="12"/>
      <c r="E422" s="12"/>
      <c r="F422" s="12"/>
      <c r="G422" s="29">
        <f>IF(AND(E422&lt;&gt;"",F422&lt;&gt;""),MAX(1,F422-E422),"")</f>
      </c>
      <c r="H422" s="12"/>
      <c r="I422" s="12"/>
      <c r="J422" s="12"/>
      <c r="K422" s="12"/>
      <c r="L422" s="30">
        <f>IF(H422="","",H422+I422-J422-K422)</f>
      </c>
      <c r="M422" s="12"/>
    </row>
    <row r="423" ht="20" customHeight="1" spans="2:13" x14ac:dyDescent="0.25">
      <c r="B423" s="13"/>
      <c r="C423" s="13"/>
      <c r="D423" s="14"/>
      <c r="E423" s="14"/>
      <c r="F423" s="14"/>
      <c r="G423" s="26">
        <f>IF(AND(E423&lt;&gt;"",F423&lt;&gt;""),MAX(1,F423-E423),"")</f>
      </c>
      <c r="H423" s="14"/>
      <c r="I423" s="14"/>
      <c r="J423" s="14"/>
      <c r="K423" s="14"/>
      <c r="L423" s="27">
        <f>IF(H423="","",H423+I423-J423-K423)</f>
      </c>
      <c r="M423" s="14"/>
    </row>
    <row r="424" ht="20" customHeight="1" spans="2:13" x14ac:dyDescent="0.25">
      <c r="B424" s="11"/>
      <c r="C424" s="11"/>
      <c r="D424" s="12"/>
      <c r="E424" s="12"/>
      <c r="F424" s="12"/>
      <c r="G424" s="29">
        <f>IF(AND(E424&lt;&gt;"",F424&lt;&gt;""),MAX(1,F424-E424),"")</f>
      </c>
      <c r="H424" s="12"/>
      <c r="I424" s="12"/>
      <c r="J424" s="12"/>
      <c r="K424" s="12"/>
      <c r="L424" s="30">
        <f>IF(H424="","",H424+I424-J424-K424)</f>
      </c>
      <c r="M424" s="12"/>
    </row>
    <row r="425" ht="20" customHeight="1" spans="2:13" x14ac:dyDescent="0.25">
      <c r="B425" s="13"/>
      <c r="C425" s="13"/>
      <c r="D425" s="14"/>
      <c r="E425" s="14"/>
      <c r="F425" s="14"/>
      <c r="G425" s="26">
        <f>IF(AND(E425&lt;&gt;"",F425&lt;&gt;""),MAX(1,F425-E425),"")</f>
      </c>
      <c r="H425" s="14"/>
      <c r="I425" s="14"/>
      <c r="J425" s="14"/>
      <c r="K425" s="14"/>
      <c r="L425" s="27">
        <f>IF(H425="","",H425+I425-J425-K425)</f>
      </c>
      <c r="M425" s="14"/>
    </row>
    <row r="426" ht="20" customHeight="1" spans="2:13" x14ac:dyDescent="0.25">
      <c r="B426" s="11"/>
      <c r="C426" s="11"/>
      <c r="D426" s="12"/>
      <c r="E426" s="12"/>
      <c r="F426" s="12"/>
      <c r="G426" s="29">
        <f>IF(AND(E426&lt;&gt;"",F426&lt;&gt;""),MAX(1,F426-E426),"")</f>
      </c>
      <c r="H426" s="12"/>
      <c r="I426" s="12"/>
      <c r="J426" s="12"/>
      <c r="K426" s="12"/>
      <c r="L426" s="30">
        <f>IF(H426="","",H426+I426-J426-K426)</f>
      </c>
      <c r="M426" s="12"/>
    </row>
    <row r="427" ht="20" customHeight="1" spans="2:13" x14ac:dyDescent="0.25">
      <c r="B427" s="13"/>
      <c r="C427" s="13"/>
      <c r="D427" s="14"/>
      <c r="E427" s="14"/>
      <c r="F427" s="14"/>
      <c r="G427" s="26">
        <f>IF(AND(E427&lt;&gt;"",F427&lt;&gt;""),MAX(1,F427-E427),"")</f>
      </c>
      <c r="H427" s="14"/>
      <c r="I427" s="14"/>
      <c r="J427" s="14"/>
      <c r="K427" s="14"/>
      <c r="L427" s="27">
        <f>IF(H427="","",H427+I427-J427-K427)</f>
      </c>
      <c r="M427" s="14"/>
    </row>
    <row r="428" ht="20" customHeight="1" spans="2:13" x14ac:dyDescent="0.25">
      <c r="B428" s="11"/>
      <c r="C428" s="11"/>
      <c r="D428" s="12"/>
      <c r="E428" s="12"/>
      <c r="F428" s="12"/>
      <c r="G428" s="29">
        <f>IF(AND(E428&lt;&gt;"",F428&lt;&gt;""),MAX(1,F428-E428),"")</f>
      </c>
      <c r="H428" s="12"/>
      <c r="I428" s="12"/>
      <c r="J428" s="12"/>
      <c r="K428" s="12"/>
      <c r="L428" s="30">
        <f>IF(H428="","",H428+I428-J428-K428)</f>
      </c>
      <c r="M428" s="12"/>
    </row>
    <row r="429" ht="20" customHeight="1" spans="2:13" x14ac:dyDescent="0.25">
      <c r="B429" s="13"/>
      <c r="C429" s="13"/>
      <c r="D429" s="14"/>
      <c r="E429" s="14"/>
      <c r="F429" s="14"/>
      <c r="G429" s="26">
        <f>IF(AND(E429&lt;&gt;"",F429&lt;&gt;""),MAX(1,F429-E429),"")</f>
      </c>
      <c r="H429" s="14"/>
      <c r="I429" s="14"/>
      <c r="J429" s="14"/>
      <c r="K429" s="14"/>
      <c r="L429" s="27">
        <f>IF(H429="","",H429+I429-J429-K429)</f>
      </c>
      <c r="M429" s="14"/>
    </row>
    <row r="430" ht="20" customHeight="1" spans="2:13" x14ac:dyDescent="0.25">
      <c r="B430" s="11"/>
      <c r="C430" s="11"/>
      <c r="D430" s="12"/>
      <c r="E430" s="12"/>
      <c r="F430" s="12"/>
      <c r="G430" s="29">
        <f>IF(AND(E430&lt;&gt;"",F430&lt;&gt;""),MAX(1,F430-E430),"")</f>
      </c>
      <c r="H430" s="12"/>
      <c r="I430" s="12"/>
      <c r="J430" s="12"/>
      <c r="K430" s="12"/>
      <c r="L430" s="30">
        <f>IF(H430="","",H430+I430-J430-K430)</f>
      </c>
      <c r="M430" s="12"/>
    </row>
    <row r="431" ht="20" customHeight="1" spans="2:13" x14ac:dyDescent="0.25">
      <c r="B431" s="13"/>
      <c r="C431" s="13"/>
      <c r="D431" s="14"/>
      <c r="E431" s="14"/>
      <c r="F431" s="14"/>
      <c r="G431" s="26">
        <f>IF(AND(E431&lt;&gt;"",F431&lt;&gt;""),MAX(1,F431-E431),"")</f>
      </c>
      <c r="H431" s="14"/>
      <c r="I431" s="14"/>
      <c r="J431" s="14"/>
      <c r="K431" s="14"/>
      <c r="L431" s="27">
        <f>IF(H431="","",H431+I431-J431-K431)</f>
      </c>
      <c r="M431" s="14"/>
    </row>
    <row r="432" ht="20" customHeight="1" spans="2:13" x14ac:dyDescent="0.25">
      <c r="B432" s="11"/>
      <c r="C432" s="11"/>
      <c r="D432" s="12"/>
      <c r="E432" s="12"/>
      <c r="F432" s="12"/>
      <c r="G432" s="29">
        <f>IF(AND(E432&lt;&gt;"",F432&lt;&gt;""),MAX(1,F432-E432),"")</f>
      </c>
      <c r="H432" s="12"/>
      <c r="I432" s="12"/>
      <c r="J432" s="12"/>
      <c r="K432" s="12"/>
      <c r="L432" s="30">
        <f>IF(H432="","",H432+I432-J432-K432)</f>
      </c>
      <c r="M432" s="12"/>
    </row>
    <row r="433" ht="20" customHeight="1" spans="2:13" x14ac:dyDescent="0.25">
      <c r="B433" s="13"/>
      <c r="C433" s="13"/>
      <c r="D433" s="14"/>
      <c r="E433" s="14"/>
      <c r="F433" s="14"/>
      <c r="G433" s="26">
        <f>IF(AND(E433&lt;&gt;"",F433&lt;&gt;""),MAX(1,F433-E433),"")</f>
      </c>
      <c r="H433" s="14"/>
      <c r="I433" s="14"/>
      <c r="J433" s="14"/>
      <c r="K433" s="14"/>
      <c r="L433" s="27">
        <f>IF(H433="","",H433+I433-J433-K433)</f>
      </c>
      <c r="M433" s="14"/>
    </row>
    <row r="434" ht="20" customHeight="1" spans="2:13" x14ac:dyDescent="0.25">
      <c r="B434" s="11"/>
      <c r="C434" s="11"/>
      <c r="D434" s="12"/>
      <c r="E434" s="12"/>
      <c r="F434" s="12"/>
      <c r="G434" s="29">
        <f>IF(AND(E434&lt;&gt;"",F434&lt;&gt;""),MAX(1,F434-E434),"")</f>
      </c>
      <c r="H434" s="12"/>
      <c r="I434" s="12"/>
      <c r="J434" s="12"/>
      <c r="K434" s="12"/>
      <c r="L434" s="30">
        <f>IF(H434="","",H434+I434-J434-K434)</f>
      </c>
      <c r="M434" s="12"/>
    </row>
    <row r="435" ht="20" customHeight="1" spans="2:13" x14ac:dyDescent="0.25">
      <c r="B435" s="13"/>
      <c r="C435" s="13"/>
      <c r="D435" s="14"/>
      <c r="E435" s="14"/>
      <c r="F435" s="14"/>
      <c r="G435" s="26">
        <f>IF(AND(E435&lt;&gt;"",F435&lt;&gt;""),MAX(1,F435-E435),"")</f>
      </c>
      <c r="H435" s="14"/>
      <c r="I435" s="14"/>
      <c r="J435" s="14"/>
      <c r="K435" s="14"/>
      <c r="L435" s="27">
        <f>IF(H435="","",H435+I435-J435-K435)</f>
      </c>
      <c r="M435" s="14"/>
    </row>
    <row r="436" ht="20" customHeight="1" spans="2:13" x14ac:dyDescent="0.25">
      <c r="B436" s="11"/>
      <c r="C436" s="11"/>
      <c r="D436" s="12"/>
      <c r="E436" s="12"/>
      <c r="F436" s="12"/>
      <c r="G436" s="29">
        <f>IF(AND(E436&lt;&gt;"",F436&lt;&gt;""),MAX(1,F436-E436),"")</f>
      </c>
      <c r="H436" s="12"/>
      <c r="I436" s="12"/>
      <c r="J436" s="12"/>
      <c r="K436" s="12"/>
      <c r="L436" s="30">
        <f>IF(H436="","",H436+I436-J436-K436)</f>
      </c>
      <c r="M436" s="12"/>
    </row>
    <row r="437" ht="20" customHeight="1" spans="2:13" x14ac:dyDescent="0.25">
      <c r="B437" s="13"/>
      <c r="C437" s="13"/>
      <c r="D437" s="14"/>
      <c r="E437" s="14"/>
      <c r="F437" s="14"/>
      <c r="G437" s="26">
        <f>IF(AND(E437&lt;&gt;"",F437&lt;&gt;""),MAX(1,F437-E437),"")</f>
      </c>
      <c r="H437" s="14"/>
      <c r="I437" s="14"/>
      <c r="J437" s="14"/>
      <c r="K437" s="14"/>
      <c r="L437" s="27">
        <f>IF(H437="","",H437+I437-J437-K437)</f>
      </c>
      <c r="M437" s="14"/>
    </row>
    <row r="438" ht="20" customHeight="1" spans="2:13" x14ac:dyDescent="0.25">
      <c r="B438" s="11"/>
      <c r="C438" s="11"/>
      <c r="D438" s="12"/>
      <c r="E438" s="12"/>
      <c r="F438" s="12"/>
      <c r="G438" s="29">
        <f>IF(AND(E438&lt;&gt;"",F438&lt;&gt;""),MAX(1,F438-E438),"")</f>
      </c>
      <c r="H438" s="12"/>
      <c r="I438" s="12"/>
      <c r="J438" s="12"/>
      <c r="K438" s="12"/>
      <c r="L438" s="30">
        <f>IF(H438="","",H438+I438-J438-K438)</f>
      </c>
      <c r="M438" s="12"/>
    </row>
    <row r="439" ht="20" customHeight="1" spans="2:13" x14ac:dyDescent="0.25">
      <c r="B439" s="13"/>
      <c r="C439" s="13"/>
      <c r="D439" s="14"/>
      <c r="E439" s="14"/>
      <c r="F439" s="14"/>
      <c r="G439" s="26">
        <f>IF(AND(E439&lt;&gt;"",F439&lt;&gt;""),MAX(1,F439-E439),"")</f>
      </c>
      <c r="H439" s="14"/>
      <c r="I439" s="14"/>
      <c r="J439" s="14"/>
      <c r="K439" s="14"/>
      <c r="L439" s="27">
        <f>IF(H439="","",H439+I439-J439-K439)</f>
      </c>
      <c r="M439" s="14"/>
    </row>
    <row r="440" ht="20" customHeight="1" spans="2:13" x14ac:dyDescent="0.25">
      <c r="B440" s="11"/>
      <c r="C440" s="11"/>
      <c r="D440" s="12"/>
      <c r="E440" s="12"/>
      <c r="F440" s="12"/>
      <c r="G440" s="29">
        <f>IF(AND(E440&lt;&gt;"",F440&lt;&gt;""),MAX(1,F440-E440),"")</f>
      </c>
      <c r="H440" s="12"/>
      <c r="I440" s="12"/>
      <c r="J440" s="12"/>
      <c r="K440" s="12"/>
      <c r="L440" s="30">
        <f>IF(H440="","",H440+I440-J440-K440)</f>
      </c>
      <c r="M440" s="12"/>
    </row>
    <row r="441" ht="20" customHeight="1" spans="2:13" x14ac:dyDescent="0.25">
      <c r="B441" s="13"/>
      <c r="C441" s="13"/>
      <c r="D441" s="14"/>
      <c r="E441" s="14"/>
      <c r="F441" s="14"/>
      <c r="G441" s="26">
        <f>IF(AND(E441&lt;&gt;"",F441&lt;&gt;""),MAX(1,F441-E441),"")</f>
      </c>
      <c r="H441" s="14"/>
      <c r="I441" s="14"/>
      <c r="J441" s="14"/>
      <c r="K441" s="14"/>
      <c r="L441" s="27">
        <f>IF(H441="","",H441+I441-J441-K441)</f>
      </c>
      <c r="M441" s="14"/>
    </row>
    <row r="442" ht="20" customHeight="1" spans="2:13" x14ac:dyDescent="0.25">
      <c r="B442" s="11"/>
      <c r="C442" s="11"/>
      <c r="D442" s="12"/>
      <c r="E442" s="12"/>
      <c r="F442" s="12"/>
      <c r="G442" s="29">
        <f>IF(AND(E442&lt;&gt;"",F442&lt;&gt;""),MAX(1,F442-E442),"")</f>
      </c>
      <c r="H442" s="12"/>
      <c r="I442" s="12"/>
      <c r="J442" s="12"/>
      <c r="K442" s="12"/>
      <c r="L442" s="30">
        <f>IF(H442="","",H442+I442-J442-K442)</f>
      </c>
      <c r="M442" s="12"/>
    </row>
    <row r="443" ht="20" customHeight="1" spans="2:13" x14ac:dyDescent="0.25">
      <c r="B443" s="13"/>
      <c r="C443" s="13"/>
      <c r="D443" s="14"/>
      <c r="E443" s="14"/>
      <c r="F443" s="14"/>
      <c r="G443" s="26">
        <f>IF(AND(E443&lt;&gt;"",F443&lt;&gt;""),MAX(1,F443-E443),"")</f>
      </c>
      <c r="H443" s="14"/>
      <c r="I443" s="14"/>
      <c r="J443" s="14"/>
      <c r="K443" s="14"/>
      <c r="L443" s="27">
        <f>IF(H443="","",H443+I443-J443-K443)</f>
      </c>
      <c r="M443" s="14"/>
    </row>
    <row r="444" ht="20" customHeight="1" spans="2:13" x14ac:dyDescent="0.25">
      <c r="B444" s="11"/>
      <c r="C444" s="11"/>
      <c r="D444" s="12"/>
      <c r="E444" s="12"/>
      <c r="F444" s="12"/>
      <c r="G444" s="29">
        <f>IF(AND(E444&lt;&gt;"",F444&lt;&gt;""),MAX(1,F444-E444),"")</f>
      </c>
      <c r="H444" s="12"/>
      <c r="I444" s="12"/>
      <c r="J444" s="12"/>
      <c r="K444" s="12"/>
      <c r="L444" s="30">
        <f>IF(H444="","",H444+I444-J444-K444)</f>
      </c>
      <c r="M444" s="12"/>
    </row>
    <row r="445" ht="20" customHeight="1" spans="2:13" x14ac:dyDescent="0.25">
      <c r="B445" s="13"/>
      <c r="C445" s="13"/>
      <c r="D445" s="14"/>
      <c r="E445" s="14"/>
      <c r="F445" s="14"/>
      <c r="G445" s="26">
        <f>IF(AND(E445&lt;&gt;"",F445&lt;&gt;""),MAX(1,F445-E445),"")</f>
      </c>
      <c r="H445" s="14"/>
      <c r="I445" s="14"/>
      <c r="J445" s="14"/>
      <c r="K445" s="14"/>
      <c r="L445" s="27">
        <f>IF(H445="","",H445+I445-J445-K445)</f>
      </c>
      <c r="M445" s="14"/>
    </row>
    <row r="446" ht="20" customHeight="1" spans="2:13" x14ac:dyDescent="0.25">
      <c r="B446" s="11"/>
      <c r="C446" s="11"/>
      <c r="D446" s="12"/>
      <c r="E446" s="12"/>
      <c r="F446" s="12"/>
      <c r="G446" s="29">
        <f>IF(AND(E446&lt;&gt;"",F446&lt;&gt;""),MAX(1,F446-E446),"")</f>
      </c>
      <c r="H446" s="12"/>
      <c r="I446" s="12"/>
      <c r="J446" s="12"/>
      <c r="K446" s="12"/>
      <c r="L446" s="30">
        <f>IF(H446="","",H446+I446-J446-K446)</f>
      </c>
      <c r="M446" s="12"/>
    </row>
    <row r="447" ht="20" customHeight="1" spans="2:13" x14ac:dyDescent="0.25">
      <c r="B447" s="13"/>
      <c r="C447" s="13"/>
      <c r="D447" s="14"/>
      <c r="E447" s="14"/>
      <c r="F447" s="14"/>
      <c r="G447" s="26">
        <f>IF(AND(E447&lt;&gt;"",F447&lt;&gt;""),MAX(1,F447-E447),"")</f>
      </c>
      <c r="H447" s="14"/>
      <c r="I447" s="14"/>
      <c r="J447" s="14"/>
      <c r="K447" s="14"/>
      <c r="L447" s="27">
        <f>IF(H447="","",H447+I447-J447-K447)</f>
      </c>
      <c r="M447" s="14"/>
    </row>
    <row r="448" ht="20" customHeight="1" spans="2:13" x14ac:dyDescent="0.25">
      <c r="B448" s="11"/>
      <c r="C448" s="11"/>
      <c r="D448" s="12"/>
      <c r="E448" s="12"/>
      <c r="F448" s="12"/>
      <c r="G448" s="29">
        <f>IF(AND(E448&lt;&gt;"",F448&lt;&gt;""),MAX(1,F448-E448),"")</f>
      </c>
      <c r="H448" s="12"/>
      <c r="I448" s="12"/>
      <c r="J448" s="12"/>
      <c r="K448" s="12"/>
      <c r="L448" s="30">
        <f>IF(H448="","",H448+I448-J448-K448)</f>
      </c>
      <c r="M448" s="12"/>
    </row>
    <row r="449" ht="20" customHeight="1" spans="2:13" x14ac:dyDescent="0.25">
      <c r="B449" s="13"/>
      <c r="C449" s="13"/>
      <c r="D449" s="14"/>
      <c r="E449" s="14"/>
      <c r="F449" s="14"/>
      <c r="G449" s="26">
        <f>IF(AND(E449&lt;&gt;"",F449&lt;&gt;""),MAX(1,F449-E449),"")</f>
      </c>
      <c r="H449" s="14"/>
      <c r="I449" s="14"/>
      <c r="J449" s="14"/>
      <c r="K449" s="14"/>
      <c r="L449" s="27">
        <f>IF(H449="","",H449+I449-J449-K449)</f>
      </c>
      <c r="M449" s="14"/>
    </row>
    <row r="450" ht="20" customHeight="1" spans="2:13" x14ac:dyDescent="0.25">
      <c r="B450" s="11"/>
      <c r="C450" s="11"/>
      <c r="D450" s="12"/>
      <c r="E450" s="12"/>
      <c r="F450" s="12"/>
      <c r="G450" s="29">
        <f>IF(AND(E450&lt;&gt;"",F450&lt;&gt;""),MAX(1,F450-E450),"")</f>
      </c>
      <c r="H450" s="12"/>
      <c r="I450" s="12"/>
      <c r="J450" s="12"/>
      <c r="K450" s="12"/>
      <c r="L450" s="30">
        <f>IF(H450="","",H450+I450-J450-K450)</f>
      </c>
      <c r="M450" s="12"/>
    </row>
    <row r="451" ht="20" customHeight="1" spans="2:13" x14ac:dyDescent="0.25">
      <c r="B451" s="13"/>
      <c r="C451" s="13"/>
      <c r="D451" s="14"/>
      <c r="E451" s="14"/>
      <c r="F451" s="14"/>
      <c r="G451" s="26">
        <f>IF(AND(E451&lt;&gt;"",F451&lt;&gt;""),MAX(1,F451-E451),"")</f>
      </c>
      <c r="H451" s="14"/>
      <c r="I451" s="14"/>
      <c r="J451" s="14"/>
      <c r="K451" s="14"/>
      <c r="L451" s="27">
        <f>IF(H451="","",H451+I451-J451-K451)</f>
      </c>
      <c r="M451" s="14"/>
    </row>
    <row r="452" ht="20" customHeight="1" spans="2:13" x14ac:dyDescent="0.25">
      <c r="B452" s="11"/>
      <c r="C452" s="11"/>
      <c r="D452" s="12"/>
      <c r="E452" s="12"/>
      <c r="F452" s="12"/>
      <c r="G452" s="29">
        <f>IF(AND(E452&lt;&gt;"",F452&lt;&gt;""),MAX(1,F452-E452),"")</f>
      </c>
      <c r="H452" s="12"/>
      <c r="I452" s="12"/>
      <c r="J452" s="12"/>
      <c r="K452" s="12"/>
      <c r="L452" s="30">
        <f>IF(H452="","",H452+I452-J452-K452)</f>
      </c>
      <c r="M452" s="12"/>
    </row>
    <row r="453" ht="20" customHeight="1" spans="2:13" x14ac:dyDescent="0.25">
      <c r="B453" s="13"/>
      <c r="C453" s="13"/>
      <c r="D453" s="14"/>
      <c r="E453" s="14"/>
      <c r="F453" s="14"/>
      <c r="G453" s="26">
        <f>IF(AND(E453&lt;&gt;"",F453&lt;&gt;""),MAX(1,F453-E453),"")</f>
      </c>
      <c r="H453" s="14"/>
      <c r="I453" s="14"/>
      <c r="J453" s="14"/>
      <c r="K453" s="14"/>
      <c r="L453" s="27">
        <f>IF(H453="","",H453+I453-J453-K453)</f>
      </c>
      <c r="M453" s="14"/>
    </row>
    <row r="454" ht="20" customHeight="1" spans="2:13" x14ac:dyDescent="0.25">
      <c r="B454" s="11"/>
      <c r="C454" s="11"/>
      <c r="D454" s="12"/>
      <c r="E454" s="12"/>
      <c r="F454" s="12"/>
      <c r="G454" s="29">
        <f>IF(AND(E454&lt;&gt;"",F454&lt;&gt;""),MAX(1,F454-E454),"")</f>
      </c>
      <c r="H454" s="12"/>
      <c r="I454" s="12"/>
      <c r="J454" s="12"/>
      <c r="K454" s="12"/>
      <c r="L454" s="30">
        <f>IF(H454="","",H454+I454-J454-K454)</f>
      </c>
      <c r="M454" s="12"/>
    </row>
    <row r="455" ht="20" customHeight="1" spans="2:13" x14ac:dyDescent="0.25">
      <c r="B455" s="13"/>
      <c r="C455" s="13"/>
      <c r="D455" s="14"/>
      <c r="E455" s="14"/>
      <c r="F455" s="14"/>
      <c r="G455" s="26">
        <f>IF(AND(E455&lt;&gt;"",F455&lt;&gt;""),MAX(1,F455-E455),"")</f>
      </c>
      <c r="H455" s="14"/>
      <c r="I455" s="14"/>
      <c r="J455" s="14"/>
      <c r="K455" s="14"/>
      <c r="L455" s="27">
        <f>IF(H455="","",H455+I455-J455-K455)</f>
      </c>
      <c r="M455" s="14"/>
    </row>
    <row r="456" ht="20" customHeight="1" spans="2:13" x14ac:dyDescent="0.25">
      <c r="B456" s="11"/>
      <c r="C456" s="11"/>
      <c r="D456" s="12"/>
      <c r="E456" s="12"/>
      <c r="F456" s="12"/>
      <c r="G456" s="29">
        <f>IF(AND(E456&lt;&gt;"",F456&lt;&gt;""),MAX(1,F456-E456),"")</f>
      </c>
      <c r="H456" s="12"/>
      <c r="I456" s="12"/>
      <c r="J456" s="12"/>
      <c r="K456" s="12"/>
      <c r="L456" s="30">
        <f>IF(H456="","",H456+I456-J456-K456)</f>
      </c>
      <c r="M456" s="12"/>
    </row>
    <row r="457" ht="20" customHeight="1" spans="2:13" x14ac:dyDescent="0.25">
      <c r="B457" s="13"/>
      <c r="C457" s="13"/>
      <c r="D457" s="14"/>
      <c r="E457" s="14"/>
      <c r="F457" s="14"/>
      <c r="G457" s="26">
        <f>IF(AND(E457&lt;&gt;"",F457&lt;&gt;""),MAX(1,F457-E457),"")</f>
      </c>
      <c r="H457" s="14"/>
      <c r="I457" s="14"/>
      <c r="J457" s="14"/>
      <c r="K457" s="14"/>
      <c r="L457" s="27">
        <f>IF(H457="","",H457+I457-J457-K457)</f>
      </c>
      <c r="M457" s="14"/>
    </row>
    <row r="458" ht="20" customHeight="1" spans="2:13" x14ac:dyDescent="0.25">
      <c r="B458" s="11"/>
      <c r="C458" s="11"/>
      <c r="D458" s="12"/>
      <c r="E458" s="12"/>
      <c r="F458" s="12"/>
      <c r="G458" s="29">
        <f>IF(AND(E458&lt;&gt;"",F458&lt;&gt;""),MAX(1,F458-E458),"")</f>
      </c>
      <c r="H458" s="12"/>
      <c r="I458" s="12"/>
      <c r="J458" s="12"/>
      <c r="K458" s="12"/>
      <c r="L458" s="30">
        <f>IF(H458="","",H458+I458-J458-K458)</f>
      </c>
      <c r="M458" s="12"/>
    </row>
    <row r="459" ht="20" customHeight="1" spans="2:13" x14ac:dyDescent="0.25">
      <c r="B459" s="13"/>
      <c r="C459" s="13"/>
      <c r="D459" s="14"/>
      <c r="E459" s="14"/>
      <c r="F459" s="14"/>
      <c r="G459" s="26">
        <f>IF(AND(E459&lt;&gt;"",F459&lt;&gt;""),MAX(1,F459-E459),"")</f>
      </c>
      <c r="H459" s="14"/>
      <c r="I459" s="14"/>
      <c r="J459" s="14"/>
      <c r="K459" s="14"/>
      <c r="L459" s="27">
        <f>IF(H459="","",H459+I459-J459-K459)</f>
      </c>
      <c r="M459" s="14"/>
    </row>
    <row r="460" ht="20" customHeight="1" spans="2:13" x14ac:dyDescent="0.25">
      <c r="B460" s="11"/>
      <c r="C460" s="11"/>
      <c r="D460" s="12"/>
      <c r="E460" s="12"/>
      <c r="F460" s="12"/>
      <c r="G460" s="29">
        <f>IF(AND(E460&lt;&gt;"",F460&lt;&gt;""),MAX(1,F460-E460),"")</f>
      </c>
      <c r="H460" s="12"/>
      <c r="I460" s="12"/>
      <c r="J460" s="12"/>
      <c r="K460" s="12"/>
      <c r="L460" s="30">
        <f>IF(H460="","",H460+I460-J460-K460)</f>
      </c>
      <c r="M460" s="12"/>
    </row>
    <row r="461" ht="20" customHeight="1" spans="2:13" x14ac:dyDescent="0.25">
      <c r="B461" s="13"/>
      <c r="C461" s="13"/>
      <c r="D461" s="14"/>
      <c r="E461" s="14"/>
      <c r="F461" s="14"/>
      <c r="G461" s="26">
        <f>IF(AND(E461&lt;&gt;"",F461&lt;&gt;""),MAX(1,F461-E461),"")</f>
      </c>
      <c r="H461" s="14"/>
      <c r="I461" s="14"/>
      <c r="J461" s="14"/>
      <c r="K461" s="14"/>
      <c r="L461" s="27">
        <f>IF(H461="","",H461+I461-J461-K461)</f>
      </c>
      <c r="M461" s="14"/>
    </row>
    <row r="462" ht="20" customHeight="1" spans="2:13" x14ac:dyDescent="0.25">
      <c r="B462" s="11"/>
      <c r="C462" s="11"/>
      <c r="D462" s="12"/>
      <c r="E462" s="12"/>
      <c r="F462" s="12"/>
      <c r="G462" s="29">
        <f>IF(AND(E462&lt;&gt;"",F462&lt;&gt;""),MAX(1,F462-E462),"")</f>
      </c>
      <c r="H462" s="12"/>
      <c r="I462" s="12"/>
      <c r="J462" s="12"/>
      <c r="K462" s="12"/>
      <c r="L462" s="30">
        <f>IF(H462="","",H462+I462-J462-K462)</f>
      </c>
      <c r="M462" s="12"/>
    </row>
    <row r="463" ht="20" customHeight="1" spans="2:13" x14ac:dyDescent="0.25">
      <c r="B463" s="13"/>
      <c r="C463" s="13"/>
      <c r="D463" s="14"/>
      <c r="E463" s="14"/>
      <c r="F463" s="14"/>
      <c r="G463" s="26">
        <f>IF(AND(E463&lt;&gt;"",F463&lt;&gt;""),MAX(1,F463-E463),"")</f>
      </c>
      <c r="H463" s="14"/>
      <c r="I463" s="14"/>
      <c r="J463" s="14"/>
      <c r="K463" s="14"/>
      <c r="L463" s="27">
        <f>IF(H463="","",H463+I463-J463-K463)</f>
      </c>
      <c r="M463" s="14"/>
    </row>
    <row r="464" ht="20" customHeight="1" spans="2:13" x14ac:dyDescent="0.25">
      <c r="B464" s="11"/>
      <c r="C464" s="11"/>
      <c r="D464" s="12"/>
      <c r="E464" s="12"/>
      <c r="F464" s="12"/>
      <c r="G464" s="29">
        <f>IF(AND(E464&lt;&gt;"",F464&lt;&gt;""),MAX(1,F464-E464),"")</f>
      </c>
      <c r="H464" s="12"/>
      <c r="I464" s="12"/>
      <c r="J464" s="12"/>
      <c r="K464" s="12"/>
      <c r="L464" s="30">
        <f>IF(H464="","",H464+I464-J464-K464)</f>
      </c>
      <c r="M464" s="12"/>
    </row>
    <row r="465" ht="20" customHeight="1" spans="2:13" x14ac:dyDescent="0.25">
      <c r="B465" s="13"/>
      <c r="C465" s="13"/>
      <c r="D465" s="14"/>
      <c r="E465" s="14"/>
      <c r="F465" s="14"/>
      <c r="G465" s="26">
        <f>IF(AND(E465&lt;&gt;"",F465&lt;&gt;""),MAX(1,F465-E465),"")</f>
      </c>
      <c r="H465" s="14"/>
      <c r="I465" s="14"/>
      <c r="J465" s="14"/>
      <c r="K465" s="14"/>
      <c r="L465" s="27">
        <f>IF(H465="","",H465+I465-J465-K465)</f>
      </c>
      <c r="M465" s="14"/>
    </row>
    <row r="466" ht="20" customHeight="1" spans="2:13" x14ac:dyDescent="0.25">
      <c r="B466" s="11"/>
      <c r="C466" s="11"/>
      <c r="D466" s="12"/>
      <c r="E466" s="12"/>
      <c r="F466" s="12"/>
      <c r="G466" s="29">
        <f>IF(AND(E466&lt;&gt;"",F466&lt;&gt;""),MAX(1,F466-E466),"")</f>
      </c>
      <c r="H466" s="12"/>
      <c r="I466" s="12"/>
      <c r="J466" s="12"/>
      <c r="K466" s="12"/>
      <c r="L466" s="30">
        <f>IF(H466="","",H466+I466-J466-K466)</f>
      </c>
      <c r="M466" s="12"/>
    </row>
    <row r="467" ht="20" customHeight="1" spans="2:13" x14ac:dyDescent="0.25">
      <c r="B467" s="13"/>
      <c r="C467" s="13"/>
      <c r="D467" s="14"/>
      <c r="E467" s="14"/>
      <c r="F467" s="14"/>
      <c r="G467" s="26">
        <f>IF(AND(E467&lt;&gt;"",F467&lt;&gt;""),MAX(1,F467-E467),"")</f>
      </c>
      <c r="H467" s="14"/>
      <c r="I467" s="14"/>
      <c r="J467" s="14"/>
      <c r="K467" s="14"/>
      <c r="L467" s="27">
        <f>IF(H467="","",H467+I467-J467-K467)</f>
      </c>
      <c r="M467" s="14"/>
    </row>
    <row r="468" ht="20" customHeight="1" spans="2:13" x14ac:dyDescent="0.25">
      <c r="B468" s="11"/>
      <c r="C468" s="11"/>
      <c r="D468" s="12"/>
      <c r="E468" s="12"/>
      <c r="F468" s="12"/>
      <c r="G468" s="29">
        <f>IF(AND(E468&lt;&gt;"",F468&lt;&gt;""),MAX(1,F468-E468),"")</f>
      </c>
      <c r="H468" s="12"/>
      <c r="I468" s="12"/>
      <c r="J468" s="12"/>
      <c r="K468" s="12"/>
      <c r="L468" s="30">
        <f>IF(H468="","",H468+I468-J468-K468)</f>
      </c>
      <c r="M468" s="12"/>
    </row>
    <row r="469" ht="20" customHeight="1" spans="2:13" x14ac:dyDescent="0.25">
      <c r="B469" s="13"/>
      <c r="C469" s="13"/>
      <c r="D469" s="14"/>
      <c r="E469" s="14"/>
      <c r="F469" s="14"/>
      <c r="G469" s="26">
        <f>IF(AND(E469&lt;&gt;"",F469&lt;&gt;""),MAX(1,F469-E469),"")</f>
      </c>
      <c r="H469" s="14"/>
      <c r="I469" s="14"/>
      <c r="J469" s="14"/>
      <c r="K469" s="14"/>
      <c r="L469" s="27">
        <f>IF(H469="","",H469+I469-J469-K469)</f>
      </c>
      <c r="M469" s="14"/>
    </row>
    <row r="470" ht="20" customHeight="1" spans="2:13" x14ac:dyDescent="0.25">
      <c r="B470" s="11"/>
      <c r="C470" s="11"/>
      <c r="D470" s="12"/>
      <c r="E470" s="12"/>
      <c r="F470" s="12"/>
      <c r="G470" s="29">
        <f>IF(AND(E470&lt;&gt;"",F470&lt;&gt;""),MAX(1,F470-E470),"")</f>
      </c>
      <c r="H470" s="12"/>
      <c r="I470" s="12"/>
      <c r="J470" s="12"/>
      <c r="K470" s="12"/>
      <c r="L470" s="30">
        <f>IF(H470="","",H470+I470-J470-K470)</f>
      </c>
      <c r="M470" s="12"/>
    </row>
    <row r="471" ht="20" customHeight="1" spans="2:13" x14ac:dyDescent="0.25">
      <c r="B471" s="13"/>
      <c r="C471" s="13"/>
      <c r="D471" s="14"/>
      <c r="E471" s="14"/>
      <c r="F471" s="14"/>
      <c r="G471" s="26">
        <f>IF(AND(E471&lt;&gt;"",F471&lt;&gt;""),MAX(1,F471-E471),"")</f>
      </c>
      <c r="H471" s="14"/>
      <c r="I471" s="14"/>
      <c r="J471" s="14"/>
      <c r="K471" s="14"/>
      <c r="L471" s="27">
        <f>IF(H471="","",H471+I471-J471-K471)</f>
      </c>
      <c r="M471" s="14"/>
    </row>
    <row r="472" ht="20" customHeight="1" spans="2:13" x14ac:dyDescent="0.25">
      <c r="B472" s="11"/>
      <c r="C472" s="11"/>
      <c r="D472" s="12"/>
      <c r="E472" s="12"/>
      <c r="F472" s="12"/>
      <c r="G472" s="29">
        <f>IF(AND(E472&lt;&gt;"",F472&lt;&gt;""),MAX(1,F472-E472),"")</f>
      </c>
      <c r="H472" s="12"/>
      <c r="I472" s="12"/>
      <c r="J472" s="12"/>
      <c r="K472" s="12"/>
      <c r="L472" s="30">
        <f>IF(H472="","",H472+I472-J472-K472)</f>
      </c>
      <c r="M472" s="12"/>
    </row>
    <row r="473" ht="20" customHeight="1" spans="2:13" x14ac:dyDescent="0.25">
      <c r="B473" s="13"/>
      <c r="C473" s="13"/>
      <c r="D473" s="14"/>
      <c r="E473" s="14"/>
      <c r="F473" s="14"/>
      <c r="G473" s="26">
        <f>IF(AND(E473&lt;&gt;"",F473&lt;&gt;""),MAX(1,F473-E473),"")</f>
      </c>
      <c r="H473" s="14"/>
      <c r="I473" s="14"/>
      <c r="J473" s="14"/>
      <c r="K473" s="14"/>
      <c r="L473" s="27">
        <f>IF(H473="","",H473+I473-J473-K473)</f>
      </c>
      <c r="M473" s="14"/>
    </row>
    <row r="474" ht="20" customHeight="1" spans="2:13" x14ac:dyDescent="0.25">
      <c r="B474" s="11"/>
      <c r="C474" s="11"/>
      <c r="D474" s="12"/>
      <c r="E474" s="12"/>
      <c r="F474" s="12"/>
      <c r="G474" s="29">
        <f>IF(AND(E474&lt;&gt;"",F474&lt;&gt;""),MAX(1,F474-E474),"")</f>
      </c>
      <c r="H474" s="12"/>
      <c r="I474" s="12"/>
      <c r="J474" s="12"/>
      <c r="K474" s="12"/>
      <c r="L474" s="30">
        <f>IF(H474="","",H474+I474-J474-K474)</f>
      </c>
      <c r="M474" s="12"/>
    </row>
    <row r="475" ht="20" customHeight="1" spans="2:13" x14ac:dyDescent="0.25">
      <c r="B475" s="13"/>
      <c r="C475" s="13"/>
      <c r="D475" s="14"/>
      <c r="E475" s="14"/>
      <c r="F475" s="14"/>
      <c r="G475" s="26">
        <f>IF(AND(E475&lt;&gt;"",F475&lt;&gt;""),MAX(1,F475-E475),"")</f>
      </c>
      <c r="H475" s="14"/>
      <c r="I475" s="14"/>
      <c r="J475" s="14"/>
      <c r="K475" s="14"/>
      <c r="L475" s="27">
        <f>IF(H475="","",H475+I475-J475-K475)</f>
      </c>
      <c r="M475" s="14"/>
    </row>
    <row r="476" ht="20" customHeight="1" spans="2:13" x14ac:dyDescent="0.25">
      <c r="B476" s="11"/>
      <c r="C476" s="11"/>
      <c r="D476" s="12"/>
      <c r="E476" s="12"/>
      <c r="F476" s="12"/>
      <c r="G476" s="29">
        <f>IF(AND(E476&lt;&gt;"",F476&lt;&gt;""),MAX(1,F476-E476),"")</f>
      </c>
      <c r="H476" s="12"/>
      <c r="I476" s="12"/>
      <c r="J476" s="12"/>
      <c r="K476" s="12"/>
      <c r="L476" s="30">
        <f>IF(H476="","",H476+I476-J476-K476)</f>
      </c>
      <c r="M476" s="12"/>
    </row>
    <row r="477" ht="20" customHeight="1" spans="2:13" x14ac:dyDescent="0.25">
      <c r="B477" s="13"/>
      <c r="C477" s="13"/>
      <c r="D477" s="14"/>
      <c r="E477" s="14"/>
      <c r="F477" s="14"/>
      <c r="G477" s="26">
        <f>IF(AND(E477&lt;&gt;"",F477&lt;&gt;""),MAX(1,F477-E477),"")</f>
      </c>
      <c r="H477" s="14"/>
      <c r="I477" s="14"/>
      <c r="J477" s="14"/>
      <c r="K477" s="14"/>
      <c r="L477" s="27">
        <f>IF(H477="","",H477+I477-J477-K477)</f>
      </c>
      <c r="M477" s="14"/>
    </row>
    <row r="478" ht="20" customHeight="1" spans="2:13" x14ac:dyDescent="0.25">
      <c r="B478" s="11"/>
      <c r="C478" s="11"/>
      <c r="D478" s="12"/>
      <c r="E478" s="12"/>
      <c r="F478" s="12"/>
      <c r="G478" s="29">
        <f>IF(AND(E478&lt;&gt;"",F478&lt;&gt;""),MAX(1,F478-E478),"")</f>
      </c>
      <c r="H478" s="12"/>
      <c r="I478" s="12"/>
      <c r="J478" s="12"/>
      <c r="K478" s="12"/>
      <c r="L478" s="30">
        <f>IF(H478="","",H478+I478-J478-K478)</f>
      </c>
      <c r="M478" s="12"/>
    </row>
    <row r="479" ht="20" customHeight="1" spans="2:13" x14ac:dyDescent="0.25">
      <c r="B479" s="13"/>
      <c r="C479" s="13"/>
      <c r="D479" s="14"/>
      <c r="E479" s="14"/>
      <c r="F479" s="14"/>
      <c r="G479" s="26">
        <f>IF(AND(E479&lt;&gt;"",F479&lt;&gt;""),MAX(1,F479-E479),"")</f>
      </c>
      <c r="H479" s="14"/>
      <c r="I479" s="14"/>
      <c r="J479" s="14"/>
      <c r="K479" s="14"/>
      <c r="L479" s="27">
        <f>IF(H479="","",H479+I479-J479-K479)</f>
      </c>
      <c r="M479" s="14"/>
    </row>
    <row r="480" ht="20" customHeight="1" spans="2:13" x14ac:dyDescent="0.25">
      <c r="B480" s="11"/>
      <c r="C480" s="11"/>
      <c r="D480" s="12"/>
      <c r="E480" s="12"/>
      <c r="F480" s="12"/>
      <c r="G480" s="29">
        <f>IF(AND(E480&lt;&gt;"",F480&lt;&gt;""),MAX(1,F480-E480),"")</f>
      </c>
      <c r="H480" s="12"/>
      <c r="I480" s="12"/>
      <c r="J480" s="12"/>
      <c r="K480" s="12"/>
      <c r="L480" s="30">
        <f>IF(H480="","",H480+I480-J480-K480)</f>
      </c>
      <c r="M480" s="12"/>
    </row>
    <row r="481" ht="20" customHeight="1" spans="2:13" x14ac:dyDescent="0.25">
      <c r="B481" s="13"/>
      <c r="C481" s="13"/>
      <c r="D481" s="14"/>
      <c r="E481" s="14"/>
      <c r="F481" s="14"/>
      <c r="G481" s="26">
        <f>IF(AND(E481&lt;&gt;"",F481&lt;&gt;""),MAX(1,F481-E481),"")</f>
      </c>
      <c r="H481" s="14"/>
      <c r="I481" s="14"/>
      <c r="J481" s="14"/>
      <c r="K481" s="14"/>
      <c r="L481" s="27">
        <f>IF(H481="","",H481+I481-J481-K481)</f>
      </c>
      <c r="M481" s="14"/>
    </row>
    <row r="482" ht="20" customHeight="1" spans="2:13" x14ac:dyDescent="0.25">
      <c r="B482" s="11"/>
      <c r="C482" s="11"/>
      <c r="D482" s="12"/>
      <c r="E482" s="12"/>
      <c r="F482" s="12"/>
      <c r="G482" s="29">
        <f>IF(AND(E482&lt;&gt;"",F482&lt;&gt;""),MAX(1,F482-E482),"")</f>
      </c>
      <c r="H482" s="12"/>
      <c r="I482" s="12"/>
      <c r="J482" s="12"/>
      <c r="K482" s="12"/>
      <c r="L482" s="30">
        <f>IF(H482="","",H482+I482-J482-K482)</f>
      </c>
      <c r="M482" s="12"/>
    </row>
    <row r="483" ht="20" customHeight="1" spans="2:13" x14ac:dyDescent="0.25">
      <c r="B483" s="13"/>
      <c r="C483" s="13"/>
      <c r="D483" s="14"/>
      <c r="E483" s="14"/>
      <c r="F483" s="14"/>
      <c r="G483" s="26">
        <f>IF(AND(E483&lt;&gt;"",F483&lt;&gt;""),MAX(1,F483-E483),"")</f>
      </c>
      <c r="H483" s="14"/>
      <c r="I483" s="14"/>
      <c r="J483" s="14"/>
      <c r="K483" s="14"/>
      <c r="L483" s="27">
        <f>IF(H483="","",H483+I483-J483-K483)</f>
      </c>
      <c r="M483" s="14"/>
    </row>
    <row r="484" ht="20" customHeight="1" spans="2:13" x14ac:dyDescent="0.25">
      <c r="B484" s="11"/>
      <c r="C484" s="11"/>
      <c r="D484" s="12"/>
      <c r="E484" s="12"/>
      <c r="F484" s="12"/>
      <c r="G484" s="29">
        <f>IF(AND(E484&lt;&gt;"",F484&lt;&gt;""),MAX(1,F484-E484),"")</f>
      </c>
      <c r="H484" s="12"/>
      <c r="I484" s="12"/>
      <c r="J484" s="12"/>
      <c r="K484" s="12"/>
      <c r="L484" s="30">
        <f>IF(H484="","",H484+I484-J484-K484)</f>
      </c>
      <c r="M484" s="12"/>
    </row>
    <row r="485" ht="20" customHeight="1" spans="2:13" x14ac:dyDescent="0.25">
      <c r="B485" s="13"/>
      <c r="C485" s="13"/>
      <c r="D485" s="14"/>
      <c r="E485" s="14"/>
      <c r="F485" s="14"/>
      <c r="G485" s="26">
        <f>IF(AND(E485&lt;&gt;"",F485&lt;&gt;""),MAX(1,F485-E485),"")</f>
      </c>
      <c r="H485" s="14"/>
      <c r="I485" s="14"/>
      <c r="J485" s="14"/>
      <c r="K485" s="14"/>
      <c r="L485" s="27">
        <f>IF(H485="","",H485+I485-J485-K485)</f>
      </c>
      <c r="M485" s="14"/>
    </row>
    <row r="486" ht="20" customHeight="1" spans="2:13" x14ac:dyDescent="0.25">
      <c r="B486" s="11"/>
      <c r="C486" s="11"/>
      <c r="D486" s="12"/>
      <c r="E486" s="12"/>
      <c r="F486" s="12"/>
      <c r="G486" s="29">
        <f>IF(AND(E486&lt;&gt;"",F486&lt;&gt;""),MAX(1,F486-E486),"")</f>
      </c>
      <c r="H486" s="12"/>
      <c r="I486" s="12"/>
      <c r="J486" s="12"/>
      <c r="K486" s="12"/>
      <c r="L486" s="30">
        <f>IF(H486="","",H486+I486-J486-K486)</f>
      </c>
      <c r="M486" s="12"/>
    </row>
    <row r="487" ht="20" customHeight="1" spans="2:13" x14ac:dyDescent="0.25">
      <c r="B487" s="13"/>
      <c r="C487" s="13"/>
      <c r="D487" s="14"/>
      <c r="E487" s="14"/>
      <c r="F487" s="14"/>
      <c r="G487" s="26">
        <f>IF(AND(E487&lt;&gt;"",F487&lt;&gt;""),MAX(1,F487-E487),"")</f>
      </c>
      <c r="H487" s="14"/>
      <c r="I487" s="14"/>
      <c r="J487" s="14"/>
      <c r="K487" s="14"/>
      <c r="L487" s="27">
        <f>IF(H487="","",H487+I487-J487-K487)</f>
      </c>
      <c r="M487" s="14"/>
    </row>
    <row r="488" ht="20" customHeight="1" spans="2:13" x14ac:dyDescent="0.25">
      <c r="B488" s="11"/>
      <c r="C488" s="11"/>
      <c r="D488" s="12"/>
      <c r="E488" s="12"/>
      <c r="F488" s="12"/>
      <c r="G488" s="29">
        <f>IF(AND(E488&lt;&gt;"",F488&lt;&gt;""),MAX(1,F488-E488),"")</f>
      </c>
      <c r="H488" s="12"/>
      <c r="I488" s="12"/>
      <c r="J488" s="12"/>
      <c r="K488" s="12"/>
      <c r="L488" s="30">
        <f>IF(H488="","",H488+I488-J488-K488)</f>
      </c>
      <c r="M488" s="12"/>
    </row>
    <row r="489" ht="20" customHeight="1" spans="2:13" x14ac:dyDescent="0.25">
      <c r="B489" s="13"/>
      <c r="C489" s="13"/>
      <c r="D489" s="14"/>
      <c r="E489" s="14"/>
      <c r="F489" s="14"/>
      <c r="G489" s="26">
        <f>IF(AND(E489&lt;&gt;"",F489&lt;&gt;""),MAX(1,F489-E489),"")</f>
      </c>
      <c r="H489" s="14"/>
      <c r="I489" s="14"/>
      <c r="J489" s="14"/>
      <c r="K489" s="14"/>
      <c r="L489" s="27">
        <f>IF(H489="","",H489+I489-J489-K489)</f>
      </c>
      <c r="M489" s="14"/>
    </row>
    <row r="490" ht="20" customHeight="1" spans="2:13" x14ac:dyDescent="0.25">
      <c r="B490" s="11"/>
      <c r="C490" s="11"/>
      <c r="D490" s="12"/>
      <c r="E490" s="12"/>
      <c r="F490" s="12"/>
      <c r="G490" s="29">
        <f>IF(AND(E490&lt;&gt;"",F490&lt;&gt;""),MAX(1,F490-E490),"")</f>
      </c>
      <c r="H490" s="12"/>
      <c r="I490" s="12"/>
      <c r="J490" s="12"/>
      <c r="K490" s="12"/>
      <c r="L490" s="30">
        <f>IF(H490="","",H490+I490-J490-K490)</f>
      </c>
      <c r="M490" s="12"/>
    </row>
    <row r="491" ht="20" customHeight="1" spans="2:13" x14ac:dyDescent="0.25">
      <c r="B491" s="13"/>
      <c r="C491" s="13"/>
      <c r="D491" s="14"/>
      <c r="E491" s="14"/>
      <c r="F491" s="14"/>
      <c r="G491" s="26">
        <f>IF(AND(E491&lt;&gt;"",F491&lt;&gt;""),MAX(1,F491-E491),"")</f>
      </c>
      <c r="H491" s="14"/>
      <c r="I491" s="14"/>
      <c r="J491" s="14"/>
      <c r="K491" s="14"/>
      <c r="L491" s="27">
        <f>IF(H491="","",H491+I491-J491-K491)</f>
      </c>
      <c r="M491" s="14"/>
    </row>
    <row r="492" ht="20" customHeight="1" spans="2:13" x14ac:dyDescent="0.25">
      <c r="B492" s="11"/>
      <c r="C492" s="11"/>
      <c r="D492" s="12"/>
      <c r="E492" s="12"/>
      <c r="F492" s="12"/>
      <c r="G492" s="29">
        <f>IF(AND(E492&lt;&gt;"",F492&lt;&gt;""),MAX(1,F492-E492),"")</f>
      </c>
      <c r="H492" s="12"/>
      <c r="I492" s="12"/>
      <c r="J492" s="12"/>
      <c r="K492" s="12"/>
      <c r="L492" s="30">
        <f>IF(H492="","",H492+I492-J492-K492)</f>
      </c>
      <c r="M492" s="12"/>
    </row>
    <row r="493" ht="20" customHeight="1" spans="2:13" x14ac:dyDescent="0.25">
      <c r="B493" s="13"/>
      <c r="C493" s="13"/>
      <c r="D493" s="14"/>
      <c r="E493" s="14"/>
      <c r="F493" s="14"/>
      <c r="G493" s="26">
        <f>IF(AND(E493&lt;&gt;"",F493&lt;&gt;""),MAX(1,F493-E493),"")</f>
      </c>
      <c r="H493" s="14"/>
      <c r="I493" s="14"/>
      <c r="J493" s="14"/>
      <c r="K493" s="14"/>
      <c r="L493" s="27">
        <f>IF(H493="","",H493+I493-J493-K493)</f>
      </c>
      <c r="M493" s="14"/>
    </row>
    <row r="494" ht="20" customHeight="1" spans="2:13" x14ac:dyDescent="0.25">
      <c r="B494" s="11"/>
      <c r="C494" s="11"/>
      <c r="D494" s="12"/>
      <c r="E494" s="12"/>
      <c r="F494" s="12"/>
      <c r="G494" s="29">
        <f>IF(AND(E494&lt;&gt;"",F494&lt;&gt;""),MAX(1,F494-E494),"")</f>
      </c>
      <c r="H494" s="12"/>
      <c r="I494" s="12"/>
      <c r="J494" s="12"/>
      <c r="K494" s="12"/>
      <c r="L494" s="30">
        <f>IF(H494="","",H494+I494-J494-K494)</f>
      </c>
      <c r="M494" s="12"/>
    </row>
    <row r="495" ht="20" customHeight="1" spans="2:13" x14ac:dyDescent="0.25">
      <c r="B495" s="13"/>
      <c r="C495" s="13"/>
      <c r="D495" s="14"/>
      <c r="E495" s="14"/>
      <c r="F495" s="14"/>
      <c r="G495" s="26">
        <f>IF(AND(E495&lt;&gt;"",F495&lt;&gt;""),MAX(1,F495-E495),"")</f>
      </c>
      <c r="H495" s="14"/>
      <c r="I495" s="14"/>
      <c r="J495" s="14"/>
      <c r="K495" s="14"/>
      <c r="L495" s="27">
        <f>IF(H495="","",H495+I495-J495-K495)</f>
      </c>
      <c r="M495" s="14"/>
    </row>
    <row r="496" ht="20" customHeight="1" spans="2:13" x14ac:dyDescent="0.25">
      <c r="B496" s="11"/>
      <c r="C496" s="11"/>
      <c r="D496" s="12"/>
      <c r="E496" s="12"/>
      <c r="F496" s="12"/>
      <c r="G496" s="29">
        <f>IF(AND(E496&lt;&gt;"",F496&lt;&gt;""),MAX(1,F496-E496),"")</f>
      </c>
      <c r="H496" s="12"/>
      <c r="I496" s="12"/>
      <c r="J496" s="12"/>
      <c r="K496" s="12"/>
      <c r="L496" s="30">
        <f>IF(H496="","",H496+I496-J496-K496)</f>
      </c>
      <c r="M496" s="12"/>
    </row>
    <row r="497" ht="20" customHeight="1" spans="2:13" x14ac:dyDescent="0.25">
      <c r="B497" s="13"/>
      <c r="C497" s="13"/>
      <c r="D497" s="14"/>
      <c r="E497" s="14"/>
      <c r="F497" s="14"/>
      <c r="G497" s="26">
        <f>IF(AND(E497&lt;&gt;"",F497&lt;&gt;""),MAX(1,F497-E497),"")</f>
      </c>
      <c r="H497" s="14"/>
      <c r="I497" s="14"/>
      <c r="J497" s="14"/>
      <c r="K497" s="14"/>
      <c r="L497" s="27">
        <f>IF(H497="","",H497+I497-J497-K497)</f>
      </c>
      <c r="M497" s="14"/>
    </row>
    <row r="498" ht="20" customHeight="1" spans="2:13" x14ac:dyDescent="0.25">
      <c r="B498" s="11"/>
      <c r="C498" s="11"/>
      <c r="D498" s="12"/>
      <c r="E498" s="12"/>
      <c r="F498" s="12"/>
      <c r="G498" s="29">
        <f>IF(AND(E498&lt;&gt;"",F498&lt;&gt;""),MAX(1,F498-E498),"")</f>
      </c>
      <c r="H498" s="12"/>
      <c r="I498" s="12"/>
      <c r="J498" s="12"/>
      <c r="K498" s="12"/>
      <c r="L498" s="30">
        <f>IF(H498="","",H498+I498-J498-K498)</f>
      </c>
      <c r="M498" s="12"/>
    </row>
    <row r="499" ht="20" customHeight="1" spans="2:13" x14ac:dyDescent="0.25">
      <c r="B499" s="13"/>
      <c r="C499" s="13"/>
      <c r="D499" s="14"/>
      <c r="E499" s="14"/>
      <c r="F499" s="14"/>
      <c r="G499" s="26">
        <f>IF(AND(E499&lt;&gt;"",F499&lt;&gt;""),MAX(1,F499-E499),"")</f>
      </c>
      <c r="H499" s="14"/>
      <c r="I499" s="14"/>
      <c r="J499" s="14"/>
      <c r="K499" s="14"/>
      <c r="L499" s="27">
        <f>IF(H499="","",H499+I499-J499-K499)</f>
      </c>
      <c r="M499" s="14"/>
    </row>
    <row r="500" ht="20" customHeight="1" spans="2:13" x14ac:dyDescent="0.25">
      <c r="B500" s="11"/>
      <c r="C500" s="11"/>
      <c r="D500" s="12"/>
      <c r="E500" s="12"/>
      <c r="F500" s="12"/>
      <c r="G500" s="29">
        <f>IF(AND(E500&lt;&gt;"",F500&lt;&gt;""),MAX(1,F500-E500),"")</f>
      </c>
      <c r="H500" s="12"/>
      <c r="I500" s="12"/>
      <c r="J500" s="12"/>
      <c r="K500" s="12"/>
      <c r="L500" s="30">
        <f>IF(H500="","",H500+I500-J500-K500)</f>
      </c>
      <c r="M500" s="12"/>
    </row>
    <row r="501" ht="20" customHeight="1" spans="2:13" x14ac:dyDescent="0.25">
      <c r="B501" s="13"/>
      <c r="C501" s="13"/>
      <c r="D501" s="14"/>
      <c r="E501" s="14"/>
      <c r="F501" s="14"/>
      <c r="G501" s="26">
        <f>IF(AND(E501&lt;&gt;"",F501&lt;&gt;""),MAX(1,F501-E501),"")</f>
      </c>
      <c r="H501" s="14"/>
      <c r="I501" s="14"/>
      <c r="J501" s="14"/>
      <c r="K501" s="14"/>
      <c r="L501" s="27">
        <f>IF(H501="","",H501+I501-J501-K501)</f>
      </c>
      <c r="M501" s="14"/>
    </row>
    <row r="502" ht="20" customHeight="1" spans="2:13" x14ac:dyDescent="0.25">
      <c r="B502" s="11"/>
      <c r="C502" s="11"/>
      <c r="D502" s="12"/>
      <c r="E502" s="12"/>
      <c r="F502" s="12"/>
      <c r="G502" s="29">
        <f>IF(AND(E502&lt;&gt;"",F502&lt;&gt;""),MAX(1,F502-E502),"")</f>
      </c>
      <c r="H502" s="12"/>
      <c r="I502" s="12"/>
      <c r="J502" s="12"/>
      <c r="K502" s="12"/>
      <c r="L502" s="30">
        <f>IF(H502="","",H502+I502-J502-K502)</f>
      </c>
      <c r="M502" s="12"/>
    </row>
    <row r="503" ht="20" customHeight="1" spans="2:13" x14ac:dyDescent="0.25">
      <c r="B503" s="13"/>
      <c r="C503" s="13"/>
      <c r="D503" s="14"/>
      <c r="E503" s="14"/>
      <c r="F503" s="14"/>
      <c r="G503" s="26">
        <f>IF(AND(E503&lt;&gt;"",F503&lt;&gt;""),MAX(1,F503-E503),"")</f>
      </c>
      <c r="H503" s="14"/>
      <c r="I503" s="14"/>
      <c r="J503" s="14"/>
      <c r="K503" s="14"/>
      <c r="L503" s="27">
        <f>IF(H503="","",H503+I503-J503-K503)</f>
      </c>
      <c r="M503" s="14"/>
    </row>
    <row r="504" ht="20" customHeight="1" spans="2:13" x14ac:dyDescent="0.25">
      <c r="B504" s="11"/>
      <c r="C504" s="11"/>
      <c r="D504" s="12"/>
      <c r="E504" s="12"/>
      <c r="F504" s="12"/>
      <c r="G504" s="29">
        <f>IF(AND(E504&lt;&gt;"",F504&lt;&gt;""),MAX(1,F504-E504),"")</f>
      </c>
      <c r="H504" s="12"/>
      <c r="I504" s="12"/>
      <c r="J504" s="12"/>
      <c r="K504" s="12"/>
      <c r="L504" s="30">
        <f>IF(H504="","",H504+I504-J504-K504)</f>
      </c>
      <c r="M504" s="12"/>
    </row>
  </sheetData>
  <autoFilter ref="B4:M4"/>
  <mergeCells count="3">
    <mergeCell ref="B1:L1"/>
    <mergeCell ref="B2:L2"/>
    <mergeCell ref="B3:L3"/>
  </mergeCells>
  <dataValidations count="2">
    <dataValidation type="list" allowBlank="1" sqref="C5:C504">
      <formula1>PropertyList</formula1>
    </dataValidation>
    <dataValidation type="list" allowBlank="1" sqref="D5:D504">
      <formula1>"Airbnb,VRBO,Booking.com,Direct,Other"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H504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8" customWidth="1"/>
    <col min="4" max="5" width="20" customWidth="1"/>
    <col min="6" max="6" width="14" customWidth="1"/>
    <col min="7" max="7" width="12" customWidth="1"/>
    <col min="8" max="8" width="28" customWidth="1"/>
  </cols>
  <sheetData>
    <row r="1" ht="34" customHeight="1" spans="1:7" x14ac:dyDescent="0.25">
      <c r="A1" s="1"/>
      <c r="B1" s="2" t="s">
        <v>105</v>
      </c>
      <c r="C1" s="2"/>
      <c r="D1" s="2"/>
      <c r="E1" s="2"/>
      <c r="F1" s="2"/>
      <c r="G1" s="2"/>
    </row>
    <row r="2" ht="22" customHeight="1" spans="1:7" x14ac:dyDescent="0.25">
      <c r="A2" s="3"/>
      <c r="B2" s="4" t="s">
        <v>106</v>
      </c>
      <c r="C2" s="4"/>
      <c r="D2" s="4"/>
      <c r="E2" s="4"/>
      <c r="F2" s="4"/>
      <c r="G2" s="4"/>
    </row>
    <row r="3" ht="8" customHeight="1" spans="1:7" x14ac:dyDescent="0.25">
      <c r="A3" s="5"/>
      <c r="B3" s="5"/>
      <c r="C3" s="5"/>
      <c r="D3" s="5"/>
      <c r="E3" s="5"/>
      <c r="F3" s="5"/>
      <c r="G3" s="5"/>
    </row>
    <row r="4" ht="24" customHeight="1" spans="2:8" x14ac:dyDescent="0.25">
      <c r="B4" s="10" t="s">
        <v>90</v>
      </c>
      <c r="C4" s="10" t="s">
        <v>91</v>
      </c>
      <c r="D4" s="10" t="s">
        <v>67</v>
      </c>
      <c r="E4" s="10" t="s">
        <v>107</v>
      </c>
      <c r="F4" s="10" t="s">
        <v>108</v>
      </c>
      <c r="G4" s="10" t="s">
        <v>109</v>
      </c>
      <c r="H4" s="10" t="s">
        <v>60</v>
      </c>
    </row>
    <row r="5" ht="20" customHeight="1" spans="2:8" x14ac:dyDescent="0.25">
      <c r="B5" s="24">
        <v>46025</v>
      </c>
      <c r="C5" s="13" t="s">
        <v>61</v>
      </c>
      <c r="D5" s="14" t="s">
        <v>70</v>
      </c>
      <c r="E5" s="14" t="s">
        <v>110</v>
      </c>
      <c r="F5" s="23">
        <v>95</v>
      </c>
      <c r="G5" s="14"/>
      <c r="H5" s="14"/>
    </row>
    <row r="6" ht="20" customHeight="1" spans="2:8" x14ac:dyDescent="0.25">
      <c r="B6" s="19">
        <v>46030</v>
      </c>
      <c r="C6" s="11" t="s">
        <v>61</v>
      </c>
      <c r="D6" s="12" t="s">
        <v>73</v>
      </c>
      <c r="E6" s="12" t="s">
        <v>111</v>
      </c>
      <c r="F6" s="22">
        <v>142</v>
      </c>
      <c r="G6" s="12"/>
      <c r="H6" s="12"/>
    </row>
    <row r="7" ht="20" customHeight="1" spans="2:8" x14ac:dyDescent="0.25">
      <c r="B7" s="24">
        <v>46037</v>
      </c>
      <c r="C7" s="13" t="s">
        <v>64</v>
      </c>
      <c r="D7" s="14" t="s">
        <v>77</v>
      </c>
      <c r="E7" s="14" t="s">
        <v>112</v>
      </c>
      <c r="F7" s="23">
        <v>58</v>
      </c>
      <c r="G7" s="14"/>
      <c r="H7" s="14"/>
    </row>
    <row r="8" ht="20" customHeight="1" spans="2:8" x14ac:dyDescent="0.25">
      <c r="B8" s="19">
        <v>46054</v>
      </c>
      <c r="C8" s="11" t="s">
        <v>61</v>
      </c>
      <c r="D8" s="12" t="s">
        <v>76</v>
      </c>
      <c r="E8" s="12" t="s">
        <v>113</v>
      </c>
      <c r="F8" s="22">
        <v>1800</v>
      </c>
      <c r="G8" s="12"/>
      <c r="H8" s="12"/>
    </row>
    <row r="9" ht="20" customHeight="1" spans="2:8" x14ac:dyDescent="0.25">
      <c r="B9" s="24">
        <v>46054</v>
      </c>
      <c r="C9" s="13" t="s">
        <v>64</v>
      </c>
      <c r="D9" s="14" t="s">
        <v>76</v>
      </c>
      <c r="E9" s="14" t="s">
        <v>113</v>
      </c>
      <c r="F9" s="23">
        <v>1200</v>
      </c>
      <c r="G9" s="14"/>
      <c r="H9" s="14"/>
    </row>
    <row r="10" ht="20" customHeight="1" spans="2:8" x14ac:dyDescent="0.25">
      <c r="B10" s="19">
        <v>46063</v>
      </c>
      <c r="C10" s="11" t="s">
        <v>61</v>
      </c>
      <c r="D10" s="12" t="s">
        <v>72</v>
      </c>
      <c r="E10" s="12" t="s">
        <v>114</v>
      </c>
      <c r="F10" s="22">
        <v>220</v>
      </c>
      <c r="G10" s="12"/>
      <c r="H10" s="12"/>
    </row>
    <row r="11" ht="20" customHeight="1" spans="2:8" x14ac:dyDescent="0.25">
      <c r="B11" s="24">
        <v>46071</v>
      </c>
      <c r="C11" s="13" t="s">
        <v>64</v>
      </c>
      <c r="D11" s="14" t="s">
        <v>70</v>
      </c>
      <c r="E11" s="14" t="s">
        <v>110</v>
      </c>
      <c r="F11" s="23">
        <v>85</v>
      </c>
      <c r="G11" s="14"/>
      <c r="H11" s="14"/>
    </row>
    <row r="12" ht="20" customHeight="1" spans="2:8" x14ac:dyDescent="0.25">
      <c r="B12" s="19">
        <v>46086</v>
      </c>
      <c r="C12" s="11" t="s">
        <v>61</v>
      </c>
      <c r="D12" s="12" t="s">
        <v>75</v>
      </c>
      <c r="E12" s="12" t="s">
        <v>115</v>
      </c>
      <c r="F12" s="22">
        <v>310</v>
      </c>
      <c r="G12" s="12"/>
      <c r="H12" s="12"/>
    </row>
    <row r="13" ht="20" customHeight="1" spans="2:8" x14ac:dyDescent="0.25">
      <c r="B13" s="24">
        <v>46093</v>
      </c>
      <c r="C13" s="13" t="s">
        <v>64</v>
      </c>
      <c r="D13" s="14" t="s">
        <v>73</v>
      </c>
      <c r="E13" s="14" t="s">
        <v>111</v>
      </c>
      <c r="F13" s="23">
        <v>118</v>
      </c>
      <c r="G13" s="14"/>
      <c r="H13" s="14"/>
    </row>
    <row r="14" ht="20" customHeight="1" spans="2:8" x14ac:dyDescent="0.25">
      <c r="B14" s="19">
        <v>46101</v>
      </c>
      <c r="C14" s="11" t="s">
        <v>61</v>
      </c>
      <c r="D14" s="12" t="s">
        <v>79</v>
      </c>
      <c r="E14" s="12" t="s">
        <v>101</v>
      </c>
      <c r="F14" s="22">
        <v>45</v>
      </c>
      <c r="G14" s="12"/>
      <c r="H14" s="12"/>
    </row>
    <row r="15" ht="20" customHeight="1" spans="2:8" x14ac:dyDescent="0.25">
      <c r="B15" s="13"/>
      <c r="C15" s="13"/>
      <c r="D15" s="14"/>
      <c r="E15" s="14"/>
      <c r="F15" s="14"/>
      <c r="G15" s="14"/>
      <c r="H15" s="14"/>
    </row>
    <row r="16" ht="20" customHeight="1" spans="2:8" x14ac:dyDescent="0.25">
      <c r="B16" s="11"/>
      <c r="C16" s="11"/>
      <c r="D16" s="12"/>
      <c r="E16" s="12"/>
      <c r="F16" s="12"/>
      <c r="G16" s="12"/>
      <c r="H16" s="12"/>
    </row>
    <row r="17" ht="20" customHeight="1" spans="2:8" x14ac:dyDescent="0.25">
      <c r="B17" s="13"/>
      <c r="C17" s="13"/>
      <c r="D17" s="14"/>
      <c r="E17" s="14"/>
      <c r="F17" s="14"/>
      <c r="G17" s="14"/>
      <c r="H17" s="14"/>
    </row>
    <row r="18" ht="20" customHeight="1" spans="2:8" x14ac:dyDescent="0.25">
      <c r="B18" s="11"/>
      <c r="C18" s="11"/>
      <c r="D18" s="12"/>
      <c r="E18" s="12"/>
      <c r="F18" s="12"/>
      <c r="G18" s="12"/>
      <c r="H18" s="12"/>
    </row>
    <row r="19" ht="20" customHeight="1" spans="2:8" x14ac:dyDescent="0.25">
      <c r="B19" s="13"/>
      <c r="C19" s="13"/>
      <c r="D19" s="14"/>
      <c r="E19" s="14"/>
      <c r="F19" s="14"/>
      <c r="G19" s="14"/>
      <c r="H19" s="14"/>
    </row>
    <row r="20" ht="20" customHeight="1" spans="2:8" x14ac:dyDescent="0.25">
      <c r="B20" s="11"/>
      <c r="C20" s="11"/>
      <c r="D20" s="12"/>
      <c r="E20" s="12"/>
      <c r="F20" s="12"/>
      <c r="G20" s="12"/>
      <c r="H20" s="12"/>
    </row>
    <row r="21" ht="20" customHeight="1" spans="2:8" x14ac:dyDescent="0.25">
      <c r="B21" s="13"/>
      <c r="C21" s="13"/>
      <c r="D21" s="14"/>
      <c r="E21" s="14"/>
      <c r="F21" s="14"/>
      <c r="G21" s="14"/>
      <c r="H21" s="14"/>
    </row>
    <row r="22" ht="20" customHeight="1" spans="2:8" x14ac:dyDescent="0.25">
      <c r="B22" s="11"/>
      <c r="C22" s="11"/>
      <c r="D22" s="12"/>
      <c r="E22" s="12"/>
      <c r="F22" s="12"/>
      <c r="G22" s="12"/>
      <c r="H22" s="12"/>
    </row>
    <row r="23" ht="20" customHeight="1" spans="2:8" x14ac:dyDescent="0.25">
      <c r="B23" s="13"/>
      <c r="C23" s="13"/>
      <c r="D23" s="14"/>
      <c r="E23" s="14"/>
      <c r="F23" s="14"/>
      <c r="G23" s="14"/>
      <c r="H23" s="14"/>
    </row>
    <row r="24" ht="20" customHeight="1" spans="2:8" x14ac:dyDescent="0.25">
      <c r="B24" s="11"/>
      <c r="C24" s="11"/>
      <c r="D24" s="12"/>
      <c r="E24" s="12"/>
      <c r="F24" s="12"/>
      <c r="G24" s="12"/>
      <c r="H24" s="12"/>
    </row>
    <row r="25" ht="20" customHeight="1" spans="2:8" x14ac:dyDescent="0.25">
      <c r="B25" s="13"/>
      <c r="C25" s="13"/>
      <c r="D25" s="14"/>
      <c r="E25" s="14"/>
      <c r="F25" s="14"/>
      <c r="G25" s="14"/>
      <c r="H25" s="14"/>
    </row>
    <row r="26" ht="20" customHeight="1" spans="2:8" x14ac:dyDescent="0.25">
      <c r="B26" s="11"/>
      <c r="C26" s="11"/>
      <c r="D26" s="12"/>
      <c r="E26" s="12"/>
      <c r="F26" s="12"/>
      <c r="G26" s="12"/>
      <c r="H26" s="12"/>
    </row>
    <row r="27" ht="20" customHeight="1" spans="2:8" x14ac:dyDescent="0.25">
      <c r="B27" s="13"/>
      <c r="C27" s="13"/>
      <c r="D27" s="14"/>
      <c r="E27" s="14"/>
      <c r="F27" s="14"/>
      <c r="G27" s="14"/>
      <c r="H27" s="14"/>
    </row>
    <row r="28" ht="20" customHeight="1" spans="2:8" x14ac:dyDescent="0.25">
      <c r="B28" s="11"/>
      <c r="C28" s="11"/>
      <c r="D28" s="12"/>
      <c r="E28" s="12"/>
      <c r="F28" s="12"/>
      <c r="G28" s="12"/>
      <c r="H28" s="12"/>
    </row>
    <row r="29" ht="20" customHeight="1" spans="2:8" x14ac:dyDescent="0.25">
      <c r="B29" s="13"/>
      <c r="C29" s="13"/>
      <c r="D29" s="14"/>
      <c r="E29" s="14"/>
      <c r="F29" s="14"/>
      <c r="G29" s="14"/>
      <c r="H29" s="14"/>
    </row>
    <row r="30" ht="20" customHeight="1" spans="2:8" x14ac:dyDescent="0.25">
      <c r="B30" s="11"/>
      <c r="C30" s="11"/>
      <c r="D30" s="12"/>
      <c r="E30" s="12"/>
      <c r="F30" s="12"/>
      <c r="G30" s="12"/>
      <c r="H30" s="12"/>
    </row>
    <row r="31" ht="20" customHeight="1" spans="2:8" x14ac:dyDescent="0.25">
      <c r="B31" s="13"/>
      <c r="C31" s="13"/>
      <c r="D31" s="14"/>
      <c r="E31" s="14"/>
      <c r="F31" s="14"/>
      <c r="G31" s="14"/>
      <c r="H31" s="14"/>
    </row>
    <row r="32" ht="20" customHeight="1" spans="2:8" x14ac:dyDescent="0.25">
      <c r="B32" s="11"/>
      <c r="C32" s="11"/>
      <c r="D32" s="12"/>
      <c r="E32" s="12"/>
      <c r="F32" s="12"/>
      <c r="G32" s="12"/>
      <c r="H32" s="12"/>
    </row>
    <row r="33" ht="20" customHeight="1" spans="2:8" x14ac:dyDescent="0.25">
      <c r="B33" s="13"/>
      <c r="C33" s="13"/>
      <c r="D33" s="14"/>
      <c r="E33" s="14"/>
      <c r="F33" s="14"/>
      <c r="G33" s="14"/>
      <c r="H33" s="14"/>
    </row>
    <row r="34" ht="20" customHeight="1" spans="2:8" x14ac:dyDescent="0.25">
      <c r="B34" s="11"/>
      <c r="C34" s="11"/>
      <c r="D34" s="12"/>
      <c r="E34" s="12"/>
      <c r="F34" s="12"/>
      <c r="G34" s="12"/>
      <c r="H34" s="12"/>
    </row>
    <row r="35" ht="20" customHeight="1" spans="2:8" x14ac:dyDescent="0.25">
      <c r="B35" s="13"/>
      <c r="C35" s="13"/>
      <c r="D35" s="14"/>
      <c r="E35" s="14"/>
      <c r="F35" s="14"/>
      <c r="G35" s="14"/>
      <c r="H35" s="14"/>
    </row>
    <row r="36" ht="20" customHeight="1" spans="2:8" x14ac:dyDescent="0.25">
      <c r="B36" s="11"/>
      <c r="C36" s="11"/>
      <c r="D36" s="12"/>
      <c r="E36" s="12"/>
      <c r="F36" s="12"/>
      <c r="G36" s="12"/>
      <c r="H36" s="12"/>
    </row>
    <row r="37" ht="20" customHeight="1" spans="2:8" x14ac:dyDescent="0.25">
      <c r="B37" s="13"/>
      <c r="C37" s="13"/>
      <c r="D37" s="14"/>
      <c r="E37" s="14"/>
      <c r="F37" s="14"/>
      <c r="G37" s="14"/>
      <c r="H37" s="14"/>
    </row>
    <row r="38" ht="20" customHeight="1" spans="2:8" x14ac:dyDescent="0.25">
      <c r="B38" s="11"/>
      <c r="C38" s="11"/>
      <c r="D38" s="12"/>
      <c r="E38" s="12"/>
      <c r="F38" s="12"/>
      <c r="G38" s="12"/>
      <c r="H38" s="12"/>
    </row>
    <row r="39" ht="20" customHeight="1" spans="2:8" x14ac:dyDescent="0.25">
      <c r="B39" s="13"/>
      <c r="C39" s="13"/>
      <c r="D39" s="14"/>
      <c r="E39" s="14"/>
      <c r="F39" s="14"/>
      <c r="G39" s="14"/>
      <c r="H39" s="14"/>
    </row>
    <row r="40" ht="20" customHeight="1" spans="2:8" x14ac:dyDescent="0.25">
      <c r="B40" s="11"/>
      <c r="C40" s="11"/>
      <c r="D40" s="12"/>
      <c r="E40" s="12"/>
      <c r="F40" s="12"/>
      <c r="G40" s="12"/>
      <c r="H40" s="12"/>
    </row>
    <row r="41" ht="20" customHeight="1" spans="2:8" x14ac:dyDescent="0.25">
      <c r="B41" s="13"/>
      <c r="C41" s="13"/>
      <c r="D41" s="14"/>
      <c r="E41" s="14"/>
      <c r="F41" s="14"/>
      <c r="G41" s="14"/>
      <c r="H41" s="14"/>
    </row>
    <row r="42" ht="20" customHeight="1" spans="2:8" x14ac:dyDescent="0.25">
      <c r="B42" s="11"/>
      <c r="C42" s="11"/>
      <c r="D42" s="12"/>
      <c r="E42" s="12"/>
      <c r="F42" s="12"/>
      <c r="G42" s="12"/>
      <c r="H42" s="12"/>
    </row>
    <row r="43" ht="20" customHeight="1" spans="2:8" x14ac:dyDescent="0.25">
      <c r="B43" s="13"/>
      <c r="C43" s="13"/>
      <c r="D43" s="14"/>
      <c r="E43" s="14"/>
      <c r="F43" s="14"/>
      <c r="G43" s="14"/>
      <c r="H43" s="14"/>
    </row>
    <row r="44" ht="20" customHeight="1" spans="2:8" x14ac:dyDescent="0.25">
      <c r="B44" s="11"/>
      <c r="C44" s="11"/>
      <c r="D44" s="12"/>
      <c r="E44" s="12"/>
      <c r="F44" s="12"/>
      <c r="G44" s="12"/>
      <c r="H44" s="12"/>
    </row>
    <row r="45" ht="20" customHeight="1" spans="2:8" x14ac:dyDescent="0.25">
      <c r="B45" s="13"/>
      <c r="C45" s="13"/>
      <c r="D45" s="14"/>
      <c r="E45" s="14"/>
      <c r="F45" s="14"/>
      <c r="G45" s="14"/>
      <c r="H45" s="14"/>
    </row>
    <row r="46" ht="20" customHeight="1" spans="2:8" x14ac:dyDescent="0.25">
      <c r="B46" s="11"/>
      <c r="C46" s="11"/>
      <c r="D46" s="12"/>
      <c r="E46" s="12"/>
      <c r="F46" s="12"/>
      <c r="G46" s="12"/>
      <c r="H46" s="12"/>
    </row>
    <row r="47" ht="20" customHeight="1" spans="2:8" x14ac:dyDescent="0.25">
      <c r="B47" s="13"/>
      <c r="C47" s="13"/>
      <c r="D47" s="14"/>
      <c r="E47" s="14"/>
      <c r="F47" s="14"/>
      <c r="G47" s="14"/>
      <c r="H47" s="14"/>
    </row>
    <row r="48" ht="20" customHeight="1" spans="2:8" x14ac:dyDescent="0.25">
      <c r="B48" s="11"/>
      <c r="C48" s="11"/>
      <c r="D48" s="12"/>
      <c r="E48" s="12"/>
      <c r="F48" s="12"/>
      <c r="G48" s="12"/>
      <c r="H48" s="12"/>
    </row>
    <row r="49" ht="20" customHeight="1" spans="2:8" x14ac:dyDescent="0.25">
      <c r="B49" s="13"/>
      <c r="C49" s="13"/>
      <c r="D49" s="14"/>
      <c r="E49" s="14"/>
      <c r="F49" s="14"/>
      <c r="G49" s="14"/>
      <c r="H49" s="14"/>
    </row>
    <row r="50" ht="20" customHeight="1" spans="2:8" x14ac:dyDescent="0.25">
      <c r="B50" s="11"/>
      <c r="C50" s="11"/>
      <c r="D50" s="12"/>
      <c r="E50" s="12"/>
      <c r="F50" s="12"/>
      <c r="G50" s="12"/>
      <c r="H50" s="12"/>
    </row>
    <row r="51" ht="20" customHeight="1" spans="2:8" x14ac:dyDescent="0.25">
      <c r="B51" s="13"/>
      <c r="C51" s="13"/>
      <c r="D51" s="14"/>
      <c r="E51" s="14"/>
      <c r="F51" s="14"/>
      <c r="G51" s="14"/>
      <c r="H51" s="14"/>
    </row>
    <row r="52" ht="20" customHeight="1" spans="2:8" x14ac:dyDescent="0.25">
      <c r="B52" s="11"/>
      <c r="C52" s="11"/>
      <c r="D52" s="12"/>
      <c r="E52" s="12"/>
      <c r="F52" s="12"/>
      <c r="G52" s="12"/>
      <c r="H52" s="12"/>
    </row>
    <row r="53" ht="20" customHeight="1" spans="2:8" x14ac:dyDescent="0.25">
      <c r="B53" s="13"/>
      <c r="C53" s="13"/>
      <c r="D53" s="14"/>
      <c r="E53" s="14"/>
      <c r="F53" s="14"/>
      <c r="G53" s="14"/>
      <c r="H53" s="14"/>
    </row>
    <row r="54" ht="20" customHeight="1" spans="2:8" x14ac:dyDescent="0.25">
      <c r="B54" s="11"/>
      <c r="C54" s="11"/>
      <c r="D54" s="12"/>
      <c r="E54" s="12"/>
      <c r="F54" s="12"/>
      <c r="G54" s="12"/>
      <c r="H54" s="12"/>
    </row>
    <row r="55" ht="20" customHeight="1" spans="2:8" x14ac:dyDescent="0.25">
      <c r="B55" s="13"/>
      <c r="C55" s="13"/>
      <c r="D55" s="14"/>
      <c r="E55" s="14"/>
      <c r="F55" s="14"/>
      <c r="G55" s="14"/>
      <c r="H55" s="14"/>
    </row>
    <row r="56" ht="20" customHeight="1" spans="2:8" x14ac:dyDescent="0.25">
      <c r="B56" s="11"/>
      <c r="C56" s="11"/>
      <c r="D56" s="12"/>
      <c r="E56" s="12"/>
      <c r="F56" s="12"/>
      <c r="G56" s="12"/>
      <c r="H56" s="12"/>
    </row>
    <row r="57" ht="20" customHeight="1" spans="2:8" x14ac:dyDescent="0.25">
      <c r="B57" s="13"/>
      <c r="C57" s="13"/>
      <c r="D57" s="14"/>
      <c r="E57" s="14"/>
      <c r="F57" s="14"/>
      <c r="G57" s="14"/>
      <c r="H57" s="14"/>
    </row>
    <row r="58" ht="20" customHeight="1" spans="2:8" x14ac:dyDescent="0.25">
      <c r="B58" s="11"/>
      <c r="C58" s="11"/>
      <c r="D58" s="12"/>
      <c r="E58" s="12"/>
      <c r="F58" s="12"/>
      <c r="G58" s="12"/>
      <c r="H58" s="12"/>
    </row>
    <row r="59" ht="20" customHeight="1" spans="2:8" x14ac:dyDescent="0.25">
      <c r="B59" s="13"/>
      <c r="C59" s="13"/>
      <c r="D59" s="14"/>
      <c r="E59" s="14"/>
      <c r="F59" s="14"/>
      <c r="G59" s="14"/>
      <c r="H59" s="14"/>
    </row>
    <row r="60" ht="20" customHeight="1" spans="2:8" x14ac:dyDescent="0.25">
      <c r="B60" s="11"/>
      <c r="C60" s="11"/>
      <c r="D60" s="12"/>
      <c r="E60" s="12"/>
      <c r="F60" s="12"/>
      <c r="G60" s="12"/>
      <c r="H60" s="12"/>
    </row>
    <row r="61" ht="20" customHeight="1" spans="2:8" x14ac:dyDescent="0.25">
      <c r="B61" s="13"/>
      <c r="C61" s="13"/>
      <c r="D61" s="14"/>
      <c r="E61" s="14"/>
      <c r="F61" s="14"/>
      <c r="G61" s="14"/>
      <c r="H61" s="14"/>
    </row>
    <row r="62" ht="20" customHeight="1" spans="2:8" x14ac:dyDescent="0.25">
      <c r="B62" s="11"/>
      <c r="C62" s="11"/>
      <c r="D62" s="12"/>
      <c r="E62" s="12"/>
      <c r="F62" s="12"/>
      <c r="G62" s="12"/>
      <c r="H62" s="12"/>
    </row>
    <row r="63" ht="20" customHeight="1" spans="2:8" x14ac:dyDescent="0.25">
      <c r="B63" s="13"/>
      <c r="C63" s="13"/>
      <c r="D63" s="14"/>
      <c r="E63" s="14"/>
      <c r="F63" s="14"/>
      <c r="G63" s="14"/>
      <c r="H63" s="14"/>
    </row>
    <row r="64" ht="20" customHeight="1" spans="2:8" x14ac:dyDescent="0.25">
      <c r="B64" s="11"/>
      <c r="C64" s="11"/>
      <c r="D64" s="12"/>
      <c r="E64" s="12"/>
      <c r="F64" s="12"/>
      <c r="G64" s="12"/>
      <c r="H64" s="12"/>
    </row>
    <row r="65" ht="20" customHeight="1" spans="2:8" x14ac:dyDescent="0.25">
      <c r="B65" s="13"/>
      <c r="C65" s="13"/>
      <c r="D65" s="14"/>
      <c r="E65" s="14"/>
      <c r="F65" s="14"/>
      <c r="G65" s="14"/>
      <c r="H65" s="14"/>
    </row>
    <row r="66" ht="20" customHeight="1" spans="2:8" x14ac:dyDescent="0.25">
      <c r="B66" s="11"/>
      <c r="C66" s="11"/>
      <c r="D66" s="12"/>
      <c r="E66" s="12"/>
      <c r="F66" s="12"/>
      <c r="G66" s="12"/>
      <c r="H66" s="12"/>
    </row>
    <row r="67" ht="20" customHeight="1" spans="2:8" x14ac:dyDescent="0.25">
      <c r="B67" s="13"/>
      <c r="C67" s="13"/>
      <c r="D67" s="14"/>
      <c r="E67" s="14"/>
      <c r="F67" s="14"/>
      <c r="G67" s="14"/>
      <c r="H67" s="14"/>
    </row>
    <row r="68" ht="20" customHeight="1" spans="2:8" x14ac:dyDescent="0.25">
      <c r="B68" s="11"/>
      <c r="C68" s="11"/>
      <c r="D68" s="12"/>
      <c r="E68" s="12"/>
      <c r="F68" s="12"/>
      <c r="G68" s="12"/>
      <c r="H68" s="12"/>
    </row>
    <row r="69" ht="20" customHeight="1" spans="2:8" x14ac:dyDescent="0.25">
      <c r="B69" s="13"/>
      <c r="C69" s="13"/>
      <c r="D69" s="14"/>
      <c r="E69" s="14"/>
      <c r="F69" s="14"/>
      <c r="G69" s="14"/>
      <c r="H69" s="14"/>
    </row>
    <row r="70" ht="20" customHeight="1" spans="2:8" x14ac:dyDescent="0.25">
      <c r="B70" s="11"/>
      <c r="C70" s="11"/>
      <c r="D70" s="12"/>
      <c r="E70" s="12"/>
      <c r="F70" s="12"/>
      <c r="G70" s="12"/>
      <c r="H70" s="12"/>
    </row>
    <row r="71" ht="20" customHeight="1" spans="2:8" x14ac:dyDescent="0.25">
      <c r="B71" s="13"/>
      <c r="C71" s="13"/>
      <c r="D71" s="14"/>
      <c r="E71" s="14"/>
      <c r="F71" s="14"/>
      <c r="G71" s="14"/>
      <c r="H71" s="14"/>
    </row>
    <row r="72" ht="20" customHeight="1" spans="2:8" x14ac:dyDescent="0.25">
      <c r="B72" s="11"/>
      <c r="C72" s="11"/>
      <c r="D72" s="12"/>
      <c r="E72" s="12"/>
      <c r="F72" s="12"/>
      <c r="G72" s="12"/>
      <c r="H72" s="12"/>
    </row>
    <row r="73" ht="20" customHeight="1" spans="2:8" x14ac:dyDescent="0.25">
      <c r="B73" s="13"/>
      <c r="C73" s="13"/>
      <c r="D73" s="14"/>
      <c r="E73" s="14"/>
      <c r="F73" s="14"/>
      <c r="G73" s="14"/>
      <c r="H73" s="14"/>
    </row>
    <row r="74" ht="20" customHeight="1" spans="2:8" x14ac:dyDescent="0.25">
      <c r="B74" s="11"/>
      <c r="C74" s="11"/>
      <c r="D74" s="12"/>
      <c r="E74" s="12"/>
      <c r="F74" s="12"/>
      <c r="G74" s="12"/>
      <c r="H74" s="12"/>
    </row>
    <row r="75" ht="20" customHeight="1" spans="2:8" x14ac:dyDescent="0.25">
      <c r="B75" s="13"/>
      <c r="C75" s="13"/>
      <c r="D75" s="14"/>
      <c r="E75" s="14"/>
      <c r="F75" s="14"/>
      <c r="G75" s="14"/>
      <c r="H75" s="14"/>
    </row>
    <row r="76" ht="20" customHeight="1" spans="2:8" x14ac:dyDescent="0.25">
      <c r="B76" s="11"/>
      <c r="C76" s="11"/>
      <c r="D76" s="12"/>
      <c r="E76" s="12"/>
      <c r="F76" s="12"/>
      <c r="G76" s="12"/>
      <c r="H76" s="12"/>
    </row>
    <row r="77" ht="20" customHeight="1" spans="2:8" x14ac:dyDescent="0.25">
      <c r="B77" s="13"/>
      <c r="C77" s="13"/>
      <c r="D77" s="14"/>
      <c r="E77" s="14"/>
      <c r="F77" s="14"/>
      <c r="G77" s="14"/>
      <c r="H77" s="14"/>
    </row>
    <row r="78" ht="20" customHeight="1" spans="2:8" x14ac:dyDescent="0.25">
      <c r="B78" s="11"/>
      <c r="C78" s="11"/>
      <c r="D78" s="12"/>
      <c r="E78" s="12"/>
      <c r="F78" s="12"/>
      <c r="G78" s="12"/>
      <c r="H78" s="12"/>
    </row>
    <row r="79" ht="20" customHeight="1" spans="2:8" x14ac:dyDescent="0.25">
      <c r="B79" s="13"/>
      <c r="C79" s="13"/>
      <c r="D79" s="14"/>
      <c r="E79" s="14"/>
      <c r="F79" s="14"/>
      <c r="G79" s="14"/>
      <c r="H79" s="14"/>
    </row>
    <row r="80" ht="20" customHeight="1" spans="2:8" x14ac:dyDescent="0.25">
      <c r="B80" s="11"/>
      <c r="C80" s="11"/>
      <c r="D80" s="12"/>
      <c r="E80" s="12"/>
      <c r="F80" s="12"/>
      <c r="G80" s="12"/>
      <c r="H80" s="12"/>
    </row>
    <row r="81" ht="20" customHeight="1" spans="2:8" x14ac:dyDescent="0.25">
      <c r="B81" s="13"/>
      <c r="C81" s="13"/>
      <c r="D81" s="14"/>
      <c r="E81" s="14"/>
      <c r="F81" s="14"/>
      <c r="G81" s="14"/>
      <c r="H81" s="14"/>
    </row>
    <row r="82" ht="20" customHeight="1" spans="2:8" x14ac:dyDescent="0.25">
      <c r="B82" s="11"/>
      <c r="C82" s="11"/>
      <c r="D82" s="12"/>
      <c r="E82" s="12"/>
      <c r="F82" s="12"/>
      <c r="G82" s="12"/>
      <c r="H82" s="12"/>
    </row>
    <row r="83" ht="20" customHeight="1" spans="2:8" x14ac:dyDescent="0.25">
      <c r="B83" s="13"/>
      <c r="C83" s="13"/>
      <c r="D83" s="14"/>
      <c r="E83" s="14"/>
      <c r="F83" s="14"/>
      <c r="G83" s="14"/>
      <c r="H83" s="14"/>
    </row>
    <row r="84" ht="20" customHeight="1" spans="2:8" x14ac:dyDescent="0.25">
      <c r="B84" s="11"/>
      <c r="C84" s="11"/>
      <c r="D84" s="12"/>
      <c r="E84" s="12"/>
      <c r="F84" s="12"/>
      <c r="G84" s="12"/>
      <c r="H84" s="12"/>
    </row>
    <row r="85" ht="20" customHeight="1" spans="2:8" x14ac:dyDescent="0.25">
      <c r="B85" s="13"/>
      <c r="C85" s="13"/>
      <c r="D85" s="14"/>
      <c r="E85" s="14"/>
      <c r="F85" s="14"/>
      <c r="G85" s="14"/>
      <c r="H85" s="14"/>
    </row>
    <row r="86" ht="20" customHeight="1" spans="2:8" x14ac:dyDescent="0.25">
      <c r="B86" s="11"/>
      <c r="C86" s="11"/>
      <c r="D86" s="12"/>
      <c r="E86" s="12"/>
      <c r="F86" s="12"/>
      <c r="G86" s="12"/>
      <c r="H86" s="12"/>
    </row>
    <row r="87" ht="20" customHeight="1" spans="2:8" x14ac:dyDescent="0.25">
      <c r="B87" s="13"/>
      <c r="C87" s="13"/>
      <c r="D87" s="14"/>
      <c r="E87" s="14"/>
      <c r="F87" s="14"/>
      <c r="G87" s="14"/>
      <c r="H87" s="14"/>
    </row>
    <row r="88" ht="20" customHeight="1" spans="2:8" x14ac:dyDescent="0.25">
      <c r="B88" s="11"/>
      <c r="C88" s="11"/>
      <c r="D88" s="12"/>
      <c r="E88" s="12"/>
      <c r="F88" s="12"/>
      <c r="G88" s="12"/>
      <c r="H88" s="12"/>
    </row>
    <row r="89" ht="20" customHeight="1" spans="2:8" x14ac:dyDescent="0.25">
      <c r="B89" s="13"/>
      <c r="C89" s="13"/>
      <c r="D89" s="14"/>
      <c r="E89" s="14"/>
      <c r="F89" s="14"/>
      <c r="G89" s="14"/>
      <c r="H89" s="14"/>
    </row>
    <row r="90" ht="20" customHeight="1" spans="2:8" x14ac:dyDescent="0.25">
      <c r="B90" s="11"/>
      <c r="C90" s="11"/>
      <c r="D90" s="12"/>
      <c r="E90" s="12"/>
      <c r="F90" s="12"/>
      <c r="G90" s="12"/>
      <c r="H90" s="12"/>
    </row>
    <row r="91" ht="20" customHeight="1" spans="2:8" x14ac:dyDescent="0.25">
      <c r="B91" s="13"/>
      <c r="C91" s="13"/>
      <c r="D91" s="14"/>
      <c r="E91" s="14"/>
      <c r="F91" s="14"/>
      <c r="G91" s="14"/>
      <c r="H91" s="14"/>
    </row>
    <row r="92" ht="20" customHeight="1" spans="2:8" x14ac:dyDescent="0.25">
      <c r="B92" s="11"/>
      <c r="C92" s="11"/>
      <c r="D92" s="12"/>
      <c r="E92" s="12"/>
      <c r="F92" s="12"/>
      <c r="G92" s="12"/>
      <c r="H92" s="12"/>
    </row>
    <row r="93" ht="20" customHeight="1" spans="2:8" x14ac:dyDescent="0.25">
      <c r="B93" s="13"/>
      <c r="C93" s="13"/>
      <c r="D93" s="14"/>
      <c r="E93" s="14"/>
      <c r="F93" s="14"/>
      <c r="G93" s="14"/>
      <c r="H93" s="14"/>
    </row>
    <row r="94" ht="20" customHeight="1" spans="2:8" x14ac:dyDescent="0.25">
      <c r="B94" s="11"/>
      <c r="C94" s="11"/>
      <c r="D94" s="12"/>
      <c r="E94" s="12"/>
      <c r="F94" s="12"/>
      <c r="G94" s="12"/>
      <c r="H94" s="12"/>
    </row>
    <row r="95" ht="20" customHeight="1" spans="2:8" x14ac:dyDescent="0.25">
      <c r="B95" s="13"/>
      <c r="C95" s="13"/>
      <c r="D95" s="14"/>
      <c r="E95" s="14"/>
      <c r="F95" s="14"/>
      <c r="G95" s="14"/>
      <c r="H95" s="14"/>
    </row>
    <row r="96" ht="20" customHeight="1" spans="2:8" x14ac:dyDescent="0.25">
      <c r="B96" s="11"/>
      <c r="C96" s="11"/>
      <c r="D96" s="12"/>
      <c r="E96" s="12"/>
      <c r="F96" s="12"/>
      <c r="G96" s="12"/>
      <c r="H96" s="12"/>
    </row>
    <row r="97" ht="20" customHeight="1" spans="2:8" x14ac:dyDescent="0.25">
      <c r="B97" s="13"/>
      <c r="C97" s="13"/>
      <c r="D97" s="14"/>
      <c r="E97" s="14"/>
      <c r="F97" s="14"/>
      <c r="G97" s="14"/>
      <c r="H97" s="14"/>
    </row>
    <row r="98" ht="20" customHeight="1" spans="2:8" x14ac:dyDescent="0.25">
      <c r="B98" s="11"/>
      <c r="C98" s="11"/>
      <c r="D98" s="12"/>
      <c r="E98" s="12"/>
      <c r="F98" s="12"/>
      <c r="G98" s="12"/>
      <c r="H98" s="12"/>
    </row>
    <row r="99" ht="20" customHeight="1" spans="2:8" x14ac:dyDescent="0.25">
      <c r="B99" s="13"/>
      <c r="C99" s="13"/>
      <c r="D99" s="14"/>
      <c r="E99" s="14"/>
      <c r="F99" s="14"/>
      <c r="G99" s="14"/>
      <c r="H99" s="14"/>
    </row>
    <row r="100" ht="20" customHeight="1" spans="2:8" x14ac:dyDescent="0.25">
      <c r="B100" s="11"/>
      <c r="C100" s="11"/>
      <c r="D100" s="12"/>
      <c r="E100" s="12"/>
      <c r="F100" s="12"/>
      <c r="G100" s="12"/>
      <c r="H100" s="12"/>
    </row>
    <row r="101" ht="20" customHeight="1" spans="2:8" x14ac:dyDescent="0.25">
      <c r="B101" s="13"/>
      <c r="C101" s="13"/>
      <c r="D101" s="14"/>
      <c r="E101" s="14"/>
      <c r="F101" s="14"/>
      <c r="G101" s="14"/>
      <c r="H101" s="14"/>
    </row>
    <row r="102" ht="20" customHeight="1" spans="2:8" x14ac:dyDescent="0.25">
      <c r="B102" s="11"/>
      <c r="C102" s="11"/>
      <c r="D102" s="12"/>
      <c r="E102" s="12"/>
      <c r="F102" s="12"/>
      <c r="G102" s="12"/>
      <c r="H102" s="12"/>
    </row>
    <row r="103" ht="20" customHeight="1" spans="2:8" x14ac:dyDescent="0.25">
      <c r="B103" s="13"/>
      <c r="C103" s="13"/>
      <c r="D103" s="14"/>
      <c r="E103" s="14"/>
      <c r="F103" s="14"/>
      <c r="G103" s="14"/>
      <c r="H103" s="14"/>
    </row>
    <row r="104" ht="20" customHeight="1" spans="2:8" x14ac:dyDescent="0.25">
      <c r="B104" s="11"/>
      <c r="C104" s="11"/>
      <c r="D104" s="12"/>
      <c r="E104" s="12"/>
      <c r="F104" s="12"/>
      <c r="G104" s="12"/>
      <c r="H104" s="12"/>
    </row>
    <row r="105" ht="20" customHeight="1" spans="2:8" x14ac:dyDescent="0.25">
      <c r="B105" s="13"/>
      <c r="C105" s="13"/>
      <c r="D105" s="14"/>
      <c r="E105" s="14"/>
      <c r="F105" s="14"/>
      <c r="G105" s="14"/>
      <c r="H105" s="14"/>
    </row>
    <row r="106" ht="20" customHeight="1" spans="2:8" x14ac:dyDescent="0.25">
      <c r="B106" s="11"/>
      <c r="C106" s="11"/>
      <c r="D106" s="12"/>
      <c r="E106" s="12"/>
      <c r="F106" s="12"/>
      <c r="G106" s="12"/>
      <c r="H106" s="12"/>
    </row>
    <row r="107" ht="20" customHeight="1" spans="2:8" x14ac:dyDescent="0.25">
      <c r="B107" s="13"/>
      <c r="C107" s="13"/>
      <c r="D107" s="14"/>
      <c r="E107" s="14"/>
      <c r="F107" s="14"/>
      <c r="G107" s="14"/>
      <c r="H107" s="14"/>
    </row>
    <row r="108" ht="20" customHeight="1" spans="2:8" x14ac:dyDescent="0.25">
      <c r="B108" s="11"/>
      <c r="C108" s="11"/>
      <c r="D108" s="12"/>
      <c r="E108" s="12"/>
      <c r="F108" s="12"/>
      <c r="G108" s="12"/>
      <c r="H108" s="12"/>
    </row>
    <row r="109" ht="20" customHeight="1" spans="2:8" x14ac:dyDescent="0.25">
      <c r="B109" s="13"/>
      <c r="C109" s="13"/>
      <c r="D109" s="14"/>
      <c r="E109" s="14"/>
      <c r="F109" s="14"/>
      <c r="G109" s="14"/>
      <c r="H109" s="14"/>
    </row>
    <row r="110" ht="20" customHeight="1" spans="2:8" x14ac:dyDescent="0.25">
      <c r="B110" s="11"/>
      <c r="C110" s="11"/>
      <c r="D110" s="12"/>
      <c r="E110" s="12"/>
      <c r="F110" s="12"/>
      <c r="G110" s="12"/>
      <c r="H110" s="12"/>
    </row>
    <row r="111" ht="20" customHeight="1" spans="2:8" x14ac:dyDescent="0.25">
      <c r="B111" s="13"/>
      <c r="C111" s="13"/>
      <c r="D111" s="14"/>
      <c r="E111" s="14"/>
      <c r="F111" s="14"/>
      <c r="G111" s="14"/>
      <c r="H111" s="14"/>
    </row>
    <row r="112" ht="20" customHeight="1" spans="2:8" x14ac:dyDescent="0.25">
      <c r="B112" s="11"/>
      <c r="C112" s="11"/>
      <c r="D112" s="12"/>
      <c r="E112" s="12"/>
      <c r="F112" s="12"/>
      <c r="G112" s="12"/>
      <c r="H112" s="12"/>
    </row>
    <row r="113" ht="20" customHeight="1" spans="2:8" x14ac:dyDescent="0.25">
      <c r="B113" s="13"/>
      <c r="C113" s="13"/>
      <c r="D113" s="14"/>
      <c r="E113" s="14"/>
      <c r="F113" s="14"/>
      <c r="G113" s="14"/>
      <c r="H113" s="14"/>
    </row>
    <row r="114" ht="20" customHeight="1" spans="2:8" x14ac:dyDescent="0.25">
      <c r="B114" s="11"/>
      <c r="C114" s="11"/>
      <c r="D114" s="12"/>
      <c r="E114" s="12"/>
      <c r="F114" s="12"/>
      <c r="G114" s="12"/>
      <c r="H114" s="12"/>
    </row>
    <row r="115" ht="20" customHeight="1" spans="2:8" x14ac:dyDescent="0.25">
      <c r="B115" s="13"/>
      <c r="C115" s="13"/>
      <c r="D115" s="14"/>
      <c r="E115" s="14"/>
      <c r="F115" s="14"/>
      <c r="G115" s="14"/>
      <c r="H115" s="14"/>
    </row>
    <row r="116" ht="20" customHeight="1" spans="2:8" x14ac:dyDescent="0.25">
      <c r="B116" s="11"/>
      <c r="C116" s="11"/>
      <c r="D116" s="12"/>
      <c r="E116" s="12"/>
      <c r="F116" s="12"/>
      <c r="G116" s="12"/>
      <c r="H116" s="12"/>
    </row>
    <row r="117" ht="20" customHeight="1" spans="2:8" x14ac:dyDescent="0.25">
      <c r="B117" s="13"/>
      <c r="C117" s="13"/>
      <c r="D117" s="14"/>
      <c r="E117" s="14"/>
      <c r="F117" s="14"/>
      <c r="G117" s="14"/>
      <c r="H117" s="14"/>
    </row>
    <row r="118" ht="20" customHeight="1" spans="2:8" x14ac:dyDescent="0.25">
      <c r="B118" s="11"/>
      <c r="C118" s="11"/>
      <c r="D118" s="12"/>
      <c r="E118" s="12"/>
      <c r="F118" s="12"/>
      <c r="G118" s="12"/>
      <c r="H118" s="12"/>
    </row>
    <row r="119" ht="20" customHeight="1" spans="2:8" x14ac:dyDescent="0.25">
      <c r="B119" s="13"/>
      <c r="C119" s="13"/>
      <c r="D119" s="14"/>
      <c r="E119" s="14"/>
      <c r="F119" s="14"/>
      <c r="G119" s="14"/>
      <c r="H119" s="14"/>
    </row>
    <row r="120" ht="20" customHeight="1" spans="2:8" x14ac:dyDescent="0.25">
      <c r="B120" s="11"/>
      <c r="C120" s="11"/>
      <c r="D120" s="12"/>
      <c r="E120" s="12"/>
      <c r="F120" s="12"/>
      <c r="G120" s="12"/>
      <c r="H120" s="12"/>
    </row>
    <row r="121" ht="20" customHeight="1" spans="2:8" x14ac:dyDescent="0.25">
      <c r="B121" s="13"/>
      <c r="C121" s="13"/>
      <c r="D121" s="14"/>
      <c r="E121" s="14"/>
      <c r="F121" s="14"/>
      <c r="G121" s="14"/>
      <c r="H121" s="14"/>
    </row>
    <row r="122" ht="20" customHeight="1" spans="2:8" x14ac:dyDescent="0.25">
      <c r="B122" s="11"/>
      <c r="C122" s="11"/>
      <c r="D122" s="12"/>
      <c r="E122" s="12"/>
      <c r="F122" s="12"/>
      <c r="G122" s="12"/>
      <c r="H122" s="12"/>
    </row>
    <row r="123" ht="20" customHeight="1" spans="2:8" x14ac:dyDescent="0.25">
      <c r="B123" s="13"/>
      <c r="C123" s="13"/>
      <c r="D123" s="14"/>
      <c r="E123" s="14"/>
      <c r="F123" s="14"/>
      <c r="G123" s="14"/>
      <c r="H123" s="14"/>
    </row>
    <row r="124" ht="20" customHeight="1" spans="2:8" x14ac:dyDescent="0.25">
      <c r="B124" s="11"/>
      <c r="C124" s="11"/>
      <c r="D124" s="12"/>
      <c r="E124" s="12"/>
      <c r="F124" s="12"/>
      <c r="G124" s="12"/>
      <c r="H124" s="12"/>
    </row>
    <row r="125" ht="20" customHeight="1" spans="2:8" x14ac:dyDescent="0.25">
      <c r="B125" s="13"/>
      <c r="C125" s="13"/>
      <c r="D125" s="14"/>
      <c r="E125" s="14"/>
      <c r="F125" s="14"/>
      <c r="G125" s="14"/>
      <c r="H125" s="14"/>
    </row>
    <row r="126" ht="20" customHeight="1" spans="2:8" x14ac:dyDescent="0.25">
      <c r="B126" s="11"/>
      <c r="C126" s="11"/>
      <c r="D126" s="12"/>
      <c r="E126" s="12"/>
      <c r="F126" s="12"/>
      <c r="G126" s="12"/>
      <c r="H126" s="12"/>
    </row>
    <row r="127" ht="20" customHeight="1" spans="2:8" x14ac:dyDescent="0.25">
      <c r="B127" s="13"/>
      <c r="C127" s="13"/>
      <c r="D127" s="14"/>
      <c r="E127" s="14"/>
      <c r="F127" s="14"/>
      <c r="G127" s="14"/>
      <c r="H127" s="14"/>
    </row>
    <row r="128" ht="20" customHeight="1" spans="2:8" x14ac:dyDescent="0.25">
      <c r="B128" s="11"/>
      <c r="C128" s="11"/>
      <c r="D128" s="12"/>
      <c r="E128" s="12"/>
      <c r="F128" s="12"/>
      <c r="G128" s="12"/>
      <c r="H128" s="12"/>
    </row>
    <row r="129" ht="20" customHeight="1" spans="2:8" x14ac:dyDescent="0.25">
      <c r="B129" s="13"/>
      <c r="C129" s="13"/>
      <c r="D129" s="14"/>
      <c r="E129" s="14"/>
      <c r="F129" s="14"/>
      <c r="G129" s="14"/>
      <c r="H129" s="14"/>
    </row>
    <row r="130" ht="20" customHeight="1" spans="2:8" x14ac:dyDescent="0.25">
      <c r="B130" s="11"/>
      <c r="C130" s="11"/>
      <c r="D130" s="12"/>
      <c r="E130" s="12"/>
      <c r="F130" s="12"/>
      <c r="G130" s="12"/>
      <c r="H130" s="12"/>
    </row>
    <row r="131" ht="20" customHeight="1" spans="2:8" x14ac:dyDescent="0.25">
      <c r="B131" s="13"/>
      <c r="C131" s="13"/>
      <c r="D131" s="14"/>
      <c r="E131" s="14"/>
      <c r="F131" s="14"/>
      <c r="G131" s="14"/>
      <c r="H131" s="14"/>
    </row>
    <row r="132" ht="20" customHeight="1" spans="2:8" x14ac:dyDescent="0.25">
      <c r="B132" s="11"/>
      <c r="C132" s="11"/>
      <c r="D132" s="12"/>
      <c r="E132" s="12"/>
      <c r="F132" s="12"/>
      <c r="G132" s="12"/>
      <c r="H132" s="12"/>
    </row>
    <row r="133" ht="20" customHeight="1" spans="2:8" x14ac:dyDescent="0.25">
      <c r="B133" s="13"/>
      <c r="C133" s="13"/>
      <c r="D133" s="14"/>
      <c r="E133" s="14"/>
      <c r="F133" s="14"/>
      <c r="G133" s="14"/>
      <c r="H133" s="14"/>
    </row>
    <row r="134" ht="20" customHeight="1" spans="2:8" x14ac:dyDescent="0.25">
      <c r="B134" s="11"/>
      <c r="C134" s="11"/>
      <c r="D134" s="12"/>
      <c r="E134" s="12"/>
      <c r="F134" s="12"/>
      <c r="G134" s="12"/>
      <c r="H134" s="12"/>
    </row>
    <row r="135" ht="20" customHeight="1" spans="2:8" x14ac:dyDescent="0.25">
      <c r="B135" s="13"/>
      <c r="C135" s="13"/>
      <c r="D135" s="14"/>
      <c r="E135" s="14"/>
      <c r="F135" s="14"/>
      <c r="G135" s="14"/>
      <c r="H135" s="14"/>
    </row>
    <row r="136" ht="20" customHeight="1" spans="2:8" x14ac:dyDescent="0.25">
      <c r="B136" s="11"/>
      <c r="C136" s="11"/>
      <c r="D136" s="12"/>
      <c r="E136" s="12"/>
      <c r="F136" s="12"/>
      <c r="G136" s="12"/>
      <c r="H136" s="12"/>
    </row>
    <row r="137" ht="20" customHeight="1" spans="2:8" x14ac:dyDescent="0.25">
      <c r="B137" s="13"/>
      <c r="C137" s="13"/>
      <c r="D137" s="14"/>
      <c r="E137" s="14"/>
      <c r="F137" s="14"/>
      <c r="G137" s="14"/>
      <c r="H137" s="14"/>
    </row>
    <row r="138" ht="20" customHeight="1" spans="2:8" x14ac:dyDescent="0.25">
      <c r="B138" s="11"/>
      <c r="C138" s="11"/>
      <c r="D138" s="12"/>
      <c r="E138" s="12"/>
      <c r="F138" s="12"/>
      <c r="G138" s="12"/>
      <c r="H138" s="12"/>
    </row>
    <row r="139" ht="20" customHeight="1" spans="2:8" x14ac:dyDescent="0.25">
      <c r="B139" s="13"/>
      <c r="C139" s="13"/>
      <c r="D139" s="14"/>
      <c r="E139" s="14"/>
      <c r="F139" s="14"/>
      <c r="G139" s="14"/>
      <c r="H139" s="14"/>
    </row>
    <row r="140" ht="20" customHeight="1" spans="2:8" x14ac:dyDescent="0.25">
      <c r="B140" s="11"/>
      <c r="C140" s="11"/>
      <c r="D140" s="12"/>
      <c r="E140" s="12"/>
      <c r="F140" s="12"/>
      <c r="G140" s="12"/>
      <c r="H140" s="12"/>
    </row>
    <row r="141" ht="20" customHeight="1" spans="2:8" x14ac:dyDescent="0.25">
      <c r="B141" s="13"/>
      <c r="C141" s="13"/>
      <c r="D141" s="14"/>
      <c r="E141" s="14"/>
      <c r="F141" s="14"/>
      <c r="G141" s="14"/>
      <c r="H141" s="14"/>
    </row>
    <row r="142" ht="20" customHeight="1" spans="2:8" x14ac:dyDescent="0.25">
      <c r="B142" s="11"/>
      <c r="C142" s="11"/>
      <c r="D142" s="12"/>
      <c r="E142" s="12"/>
      <c r="F142" s="12"/>
      <c r="G142" s="12"/>
      <c r="H142" s="12"/>
    </row>
    <row r="143" ht="20" customHeight="1" spans="2:8" x14ac:dyDescent="0.25">
      <c r="B143" s="13"/>
      <c r="C143" s="13"/>
      <c r="D143" s="14"/>
      <c r="E143" s="14"/>
      <c r="F143" s="14"/>
      <c r="G143" s="14"/>
      <c r="H143" s="14"/>
    </row>
    <row r="144" ht="20" customHeight="1" spans="2:8" x14ac:dyDescent="0.25">
      <c r="B144" s="11"/>
      <c r="C144" s="11"/>
      <c r="D144" s="12"/>
      <c r="E144" s="12"/>
      <c r="F144" s="12"/>
      <c r="G144" s="12"/>
      <c r="H144" s="12"/>
    </row>
    <row r="145" ht="20" customHeight="1" spans="2:8" x14ac:dyDescent="0.25">
      <c r="B145" s="13"/>
      <c r="C145" s="13"/>
      <c r="D145" s="14"/>
      <c r="E145" s="14"/>
      <c r="F145" s="14"/>
      <c r="G145" s="14"/>
      <c r="H145" s="14"/>
    </row>
    <row r="146" ht="20" customHeight="1" spans="2:8" x14ac:dyDescent="0.25">
      <c r="B146" s="11"/>
      <c r="C146" s="11"/>
      <c r="D146" s="12"/>
      <c r="E146" s="12"/>
      <c r="F146" s="12"/>
      <c r="G146" s="12"/>
      <c r="H146" s="12"/>
    </row>
    <row r="147" ht="20" customHeight="1" spans="2:8" x14ac:dyDescent="0.25">
      <c r="B147" s="13"/>
      <c r="C147" s="13"/>
      <c r="D147" s="14"/>
      <c r="E147" s="14"/>
      <c r="F147" s="14"/>
      <c r="G147" s="14"/>
      <c r="H147" s="14"/>
    </row>
    <row r="148" ht="20" customHeight="1" spans="2:8" x14ac:dyDescent="0.25">
      <c r="B148" s="11"/>
      <c r="C148" s="11"/>
      <c r="D148" s="12"/>
      <c r="E148" s="12"/>
      <c r="F148" s="12"/>
      <c r="G148" s="12"/>
      <c r="H148" s="12"/>
    </row>
    <row r="149" ht="20" customHeight="1" spans="2:8" x14ac:dyDescent="0.25">
      <c r="B149" s="13"/>
      <c r="C149" s="13"/>
      <c r="D149" s="14"/>
      <c r="E149" s="14"/>
      <c r="F149" s="14"/>
      <c r="G149" s="14"/>
      <c r="H149" s="14"/>
    </row>
    <row r="150" ht="20" customHeight="1" spans="2:8" x14ac:dyDescent="0.25">
      <c r="B150" s="11"/>
      <c r="C150" s="11"/>
      <c r="D150" s="12"/>
      <c r="E150" s="12"/>
      <c r="F150" s="12"/>
      <c r="G150" s="12"/>
      <c r="H150" s="12"/>
    </row>
    <row r="151" ht="20" customHeight="1" spans="2:8" x14ac:dyDescent="0.25">
      <c r="B151" s="13"/>
      <c r="C151" s="13"/>
      <c r="D151" s="14"/>
      <c r="E151" s="14"/>
      <c r="F151" s="14"/>
      <c r="G151" s="14"/>
      <c r="H151" s="14"/>
    </row>
    <row r="152" ht="20" customHeight="1" spans="2:8" x14ac:dyDescent="0.25">
      <c r="B152" s="11"/>
      <c r="C152" s="11"/>
      <c r="D152" s="12"/>
      <c r="E152" s="12"/>
      <c r="F152" s="12"/>
      <c r="G152" s="12"/>
      <c r="H152" s="12"/>
    </row>
    <row r="153" ht="20" customHeight="1" spans="2:8" x14ac:dyDescent="0.25">
      <c r="B153" s="13"/>
      <c r="C153" s="13"/>
      <c r="D153" s="14"/>
      <c r="E153" s="14"/>
      <c r="F153" s="14"/>
      <c r="G153" s="14"/>
      <c r="H153" s="14"/>
    </row>
    <row r="154" ht="20" customHeight="1" spans="2:8" x14ac:dyDescent="0.25">
      <c r="B154" s="11"/>
      <c r="C154" s="11"/>
      <c r="D154" s="12"/>
      <c r="E154" s="12"/>
      <c r="F154" s="12"/>
      <c r="G154" s="12"/>
      <c r="H154" s="12"/>
    </row>
    <row r="155" ht="20" customHeight="1" spans="2:8" x14ac:dyDescent="0.25">
      <c r="B155" s="13"/>
      <c r="C155" s="13"/>
      <c r="D155" s="14"/>
      <c r="E155" s="14"/>
      <c r="F155" s="14"/>
      <c r="G155" s="14"/>
      <c r="H155" s="14"/>
    </row>
    <row r="156" ht="20" customHeight="1" spans="2:8" x14ac:dyDescent="0.25">
      <c r="B156" s="11"/>
      <c r="C156" s="11"/>
      <c r="D156" s="12"/>
      <c r="E156" s="12"/>
      <c r="F156" s="12"/>
      <c r="G156" s="12"/>
      <c r="H156" s="12"/>
    </row>
    <row r="157" ht="20" customHeight="1" spans="2:8" x14ac:dyDescent="0.25">
      <c r="B157" s="13"/>
      <c r="C157" s="13"/>
      <c r="D157" s="14"/>
      <c r="E157" s="14"/>
      <c r="F157" s="14"/>
      <c r="G157" s="14"/>
      <c r="H157" s="14"/>
    </row>
    <row r="158" ht="20" customHeight="1" spans="2:8" x14ac:dyDescent="0.25">
      <c r="B158" s="11"/>
      <c r="C158" s="11"/>
      <c r="D158" s="12"/>
      <c r="E158" s="12"/>
      <c r="F158" s="12"/>
      <c r="G158" s="12"/>
      <c r="H158" s="12"/>
    </row>
    <row r="159" ht="20" customHeight="1" spans="2:8" x14ac:dyDescent="0.25">
      <c r="B159" s="13"/>
      <c r="C159" s="13"/>
      <c r="D159" s="14"/>
      <c r="E159" s="14"/>
      <c r="F159" s="14"/>
      <c r="G159" s="14"/>
      <c r="H159" s="14"/>
    </row>
    <row r="160" ht="20" customHeight="1" spans="2:8" x14ac:dyDescent="0.25">
      <c r="B160" s="11"/>
      <c r="C160" s="11"/>
      <c r="D160" s="12"/>
      <c r="E160" s="12"/>
      <c r="F160" s="12"/>
      <c r="G160" s="12"/>
      <c r="H160" s="12"/>
    </row>
    <row r="161" ht="20" customHeight="1" spans="2:8" x14ac:dyDescent="0.25">
      <c r="B161" s="13"/>
      <c r="C161" s="13"/>
      <c r="D161" s="14"/>
      <c r="E161" s="14"/>
      <c r="F161" s="14"/>
      <c r="G161" s="14"/>
      <c r="H161" s="14"/>
    </row>
    <row r="162" ht="20" customHeight="1" spans="2:8" x14ac:dyDescent="0.25">
      <c r="B162" s="11"/>
      <c r="C162" s="11"/>
      <c r="D162" s="12"/>
      <c r="E162" s="12"/>
      <c r="F162" s="12"/>
      <c r="G162" s="12"/>
      <c r="H162" s="12"/>
    </row>
    <row r="163" ht="20" customHeight="1" spans="2:8" x14ac:dyDescent="0.25">
      <c r="B163" s="13"/>
      <c r="C163" s="13"/>
      <c r="D163" s="14"/>
      <c r="E163" s="14"/>
      <c r="F163" s="14"/>
      <c r="G163" s="14"/>
      <c r="H163" s="14"/>
    </row>
    <row r="164" ht="20" customHeight="1" spans="2:8" x14ac:dyDescent="0.25">
      <c r="B164" s="11"/>
      <c r="C164" s="11"/>
      <c r="D164" s="12"/>
      <c r="E164" s="12"/>
      <c r="F164" s="12"/>
      <c r="G164" s="12"/>
      <c r="H164" s="12"/>
    </row>
    <row r="165" ht="20" customHeight="1" spans="2:8" x14ac:dyDescent="0.25">
      <c r="B165" s="13"/>
      <c r="C165" s="13"/>
      <c r="D165" s="14"/>
      <c r="E165" s="14"/>
      <c r="F165" s="14"/>
      <c r="G165" s="14"/>
      <c r="H165" s="14"/>
    </row>
    <row r="166" ht="20" customHeight="1" spans="2:8" x14ac:dyDescent="0.25">
      <c r="B166" s="11"/>
      <c r="C166" s="11"/>
      <c r="D166" s="12"/>
      <c r="E166" s="12"/>
      <c r="F166" s="12"/>
      <c r="G166" s="12"/>
      <c r="H166" s="12"/>
    </row>
    <row r="167" ht="20" customHeight="1" spans="2:8" x14ac:dyDescent="0.25">
      <c r="B167" s="13"/>
      <c r="C167" s="13"/>
      <c r="D167" s="14"/>
      <c r="E167" s="14"/>
      <c r="F167" s="14"/>
      <c r="G167" s="14"/>
      <c r="H167" s="14"/>
    </row>
    <row r="168" ht="20" customHeight="1" spans="2:8" x14ac:dyDescent="0.25">
      <c r="B168" s="11"/>
      <c r="C168" s="11"/>
      <c r="D168" s="12"/>
      <c r="E168" s="12"/>
      <c r="F168" s="12"/>
      <c r="G168" s="12"/>
      <c r="H168" s="12"/>
    </row>
    <row r="169" ht="20" customHeight="1" spans="2:8" x14ac:dyDescent="0.25">
      <c r="B169" s="13"/>
      <c r="C169" s="13"/>
      <c r="D169" s="14"/>
      <c r="E169" s="14"/>
      <c r="F169" s="14"/>
      <c r="G169" s="14"/>
      <c r="H169" s="14"/>
    </row>
    <row r="170" ht="20" customHeight="1" spans="2:8" x14ac:dyDescent="0.25">
      <c r="B170" s="11"/>
      <c r="C170" s="11"/>
      <c r="D170" s="12"/>
      <c r="E170" s="12"/>
      <c r="F170" s="12"/>
      <c r="G170" s="12"/>
      <c r="H170" s="12"/>
    </row>
    <row r="171" ht="20" customHeight="1" spans="2:8" x14ac:dyDescent="0.25">
      <c r="B171" s="13"/>
      <c r="C171" s="13"/>
      <c r="D171" s="14"/>
      <c r="E171" s="14"/>
      <c r="F171" s="14"/>
      <c r="G171" s="14"/>
      <c r="H171" s="14"/>
    </row>
    <row r="172" ht="20" customHeight="1" spans="2:8" x14ac:dyDescent="0.25">
      <c r="B172" s="11"/>
      <c r="C172" s="11"/>
      <c r="D172" s="12"/>
      <c r="E172" s="12"/>
      <c r="F172" s="12"/>
      <c r="G172" s="12"/>
      <c r="H172" s="12"/>
    </row>
    <row r="173" ht="20" customHeight="1" spans="2:8" x14ac:dyDescent="0.25">
      <c r="B173" s="13"/>
      <c r="C173" s="13"/>
      <c r="D173" s="14"/>
      <c r="E173" s="14"/>
      <c r="F173" s="14"/>
      <c r="G173" s="14"/>
      <c r="H173" s="14"/>
    </row>
    <row r="174" ht="20" customHeight="1" spans="2:8" x14ac:dyDescent="0.25">
      <c r="B174" s="11"/>
      <c r="C174" s="11"/>
      <c r="D174" s="12"/>
      <c r="E174" s="12"/>
      <c r="F174" s="12"/>
      <c r="G174" s="12"/>
      <c r="H174" s="12"/>
    </row>
    <row r="175" ht="20" customHeight="1" spans="2:8" x14ac:dyDescent="0.25">
      <c r="B175" s="13"/>
      <c r="C175" s="13"/>
      <c r="D175" s="14"/>
      <c r="E175" s="14"/>
      <c r="F175" s="14"/>
      <c r="G175" s="14"/>
      <c r="H175" s="14"/>
    </row>
    <row r="176" ht="20" customHeight="1" spans="2:8" x14ac:dyDescent="0.25">
      <c r="B176" s="11"/>
      <c r="C176" s="11"/>
      <c r="D176" s="12"/>
      <c r="E176" s="12"/>
      <c r="F176" s="12"/>
      <c r="G176" s="12"/>
      <c r="H176" s="12"/>
    </row>
    <row r="177" ht="20" customHeight="1" spans="2:8" x14ac:dyDescent="0.25">
      <c r="B177" s="13"/>
      <c r="C177" s="13"/>
      <c r="D177" s="14"/>
      <c r="E177" s="14"/>
      <c r="F177" s="14"/>
      <c r="G177" s="14"/>
      <c r="H177" s="14"/>
    </row>
    <row r="178" ht="20" customHeight="1" spans="2:8" x14ac:dyDescent="0.25">
      <c r="B178" s="11"/>
      <c r="C178" s="11"/>
      <c r="D178" s="12"/>
      <c r="E178" s="12"/>
      <c r="F178" s="12"/>
      <c r="G178" s="12"/>
      <c r="H178" s="12"/>
    </row>
    <row r="179" ht="20" customHeight="1" spans="2:8" x14ac:dyDescent="0.25">
      <c r="B179" s="13"/>
      <c r="C179" s="13"/>
      <c r="D179" s="14"/>
      <c r="E179" s="14"/>
      <c r="F179" s="14"/>
      <c r="G179" s="14"/>
      <c r="H179" s="14"/>
    </row>
    <row r="180" ht="20" customHeight="1" spans="2:8" x14ac:dyDescent="0.25">
      <c r="B180" s="11"/>
      <c r="C180" s="11"/>
      <c r="D180" s="12"/>
      <c r="E180" s="12"/>
      <c r="F180" s="12"/>
      <c r="G180" s="12"/>
      <c r="H180" s="12"/>
    </row>
    <row r="181" ht="20" customHeight="1" spans="2:8" x14ac:dyDescent="0.25">
      <c r="B181" s="13"/>
      <c r="C181" s="13"/>
      <c r="D181" s="14"/>
      <c r="E181" s="14"/>
      <c r="F181" s="14"/>
      <c r="G181" s="14"/>
      <c r="H181" s="14"/>
    </row>
    <row r="182" ht="20" customHeight="1" spans="2:8" x14ac:dyDescent="0.25">
      <c r="B182" s="11"/>
      <c r="C182" s="11"/>
      <c r="D182" s="12"/>
      <c r="E182" s="12"/>
      <c r="F182" s="12"/>
      <c r="G182" s="12"/>
      <c r="H182" s="12"/>
    </row>
    <row r="183" ht="20" customHeight="1" spans="2:8" x14ac:dyDescent="0.25">
      <c r="B183" s="13"/>
      <c r="C183" s="13"/>
      <c r="D183" s="14"/>
      <c r="E183" s="14"/>
      <c r="F183" s="14"/>
      <c r="G183" s="14"/>
      <c r="H183" s="14"/>
    </row>
    <row r="184" ht="20" customHeight="1" spans="2:8" x14ac:dyDescent="0.25">
      <c r="B184" s="11"/>
      <c r="C184" s="11"/>
      <c r="D184" s="12"/>
      <c r="E184" s="12"/>
      <c r="F184" s="12"/>
      <c r="G184" s="12"/>
      <c r="H184" s="12"/>
    </row>
    <row r="185" ht="20" customHeight="1" spans="2:8" x14ac:dyDescent="0.25">
      <c r="B185" s="13"/>
      <c r="C185" s="13"/>
      <c r="D185" s="14"/>
      <c r="E185" s="14"/>
      <c r="F185" s="14"/>
      <c r="G185" s="14"/>
      <c r="H185" s="14"/>
    </row>
    <row r="186" ht="20" customHeight="1" spans="2:8" x14ac:dyDescent="0.25">
      <c r="B186" s="11"/>
      <c r="C186" s="11"/>
      <c r="D186" s="12"/>
      <c r="E186" s="12"/>
      <c r="F186" s="12"/>
      <c r="G186" s="12"/>
      <c r="H186" s="12"/>
    </row>
    <row r="187" ht="20" customHeight="1" spans="2:8" x14ac:dyDescent="0.25">
      <c r="B187" s="13"/>
      <c r="C187" s="13"/>
      <c r="D187" s="14"/>
      <c r="E187" s="14"/>
      <c r="F187" s="14"/>
      <c r="G187" s="14"/>
      <c r="H187" s="14"/>
    </row>
    <row r="188" ht="20" customHeight="1" spans="2:8" x14ac:dyDescent="0.25">
      <c r="B188" s="11"/>
      <c r="C188" s="11"/>
      <c r="D188" s="12"/>
      <c r="E188" s="12"/>
      <c r="F188" s="12"/>
      <c r="G188" s="12"/>
      <c r="H188" s="12"/>
    </row>
    <row r="189" ht="20" customHeight="1" spans="2:8" x14ac:dyDescent="0.25">
      <c r="B189" s="13"/>
      <c r="C189" s="13"/>
      <c r="D189" s="14"/>
      <c r="E189" s="14"/>
      <c r="F189" s="14"/>
      <c r="G189" s="14"/>
      <c r="H189" s="14"/>
    </row>
    <row r="190" ht="20" customHeight="1" spans="2:8" x14ac:dyDescent="0.25">
      <c r="B190" s="11"/>
      <c r="C190" s="11"/>
      <c r="D190" s="12"/>
      <c r="E190" s="12"/>
      <c r="F190" s="12"/>
      <c r="G190" s="12"/>
      <c r="H190" s="12"/>
    </row>
    <row r="191" ht="20" customHeight="1" spans="2:8" x14ac:dyDescent="0.25">
      <c r="B191" s="13"/>
      <c r="C191" s="13"/>
      <c r="D191" s="14"/>
      <c r="E191" s="14"/>
      <c r="F191" s="14"/>
      <c r="G191" s="14"/>
      <c r="H191" s="14"/>
    </row>
    <row r="192" ht="20" customHeight="1" spans="2:8" x14ac:dyDescent="0.25">
      <c r="B192" s="11"/>
      <c r="C192" s="11"/>
      <c r="D192" s="12"/>
      <c r="E192" s="12"/>
      <c r="F192" s="12"/>
      <c r="G192" s="12"/>
      <c r="H192" s="12"/>
    </row>
    <row r="193" ht="20" customHeight="1" spans="2:8" x14ac:dyDescent="0.25">
      <c r="B193" s="13"/>
      <c r="C193" s="13"/>
      <c r="D193" s="14"/>
      <c r="E193" s="14"/>
      <c r="F193" s="14"/>
      <c r="G193" s="14"/>
      <c r="H193" s="14"/>
    </row>
    <row r="194" ht="20" customHeight="1" spans="2:8" x14ac:dyDescent="0.25">
      <c r="B194" s="11"/>
      <c r="C194" s="11"/>
      <c r="D194" s="12"/>
      <c r="E194" s="12"/>
      <c r="F194" s="12"/>
      <c r="G194" s="12"/>
      <c r="H194" s="12"/>
    </row>
    <row r="195" ht="20" customHeight="1" spans="2:8" x14ac:dyDescent="0.25">
      <c r="B195" s="13"/>
      <c r="C195" s="13"/>
      <c r="D195" s="14"/>
      <c r="E195" s="14"/>
      <c r="F195" s="14"/>
      <c r="G195" s="14"/>
      <c r="H195" s="14"/>
    </row>
    <row r="196" ht="20" customHeight="1" spans="2:8" x14ac:dyDescent="0.25">
      <c r="B196" s="11"/>
      <c r="C196" s="11"/>
      <c r="D196" s="12"/>
      <c r="E196" s="12"/>
      <c r="F196" s="12"/>
      <c r="G196" s="12"/>
      <c r="H196" s="12"/>
    </row>
    <row r="197" ht="20" customHeight="1" spans="2:8" x14ac:dyDescent="0.25">
      <c r="B197" s="13"/>
      <c r="C197" s="13"/>
      <c r="D197" s="14"/>
      <c r="E197" s="14"/>
      <c r="F197" s="14"/>
      <c r="G197" s="14"/>
      <c r="H197" s="14"/>
    </row>
    <row r="198" ht="20" customHeight="1" spans="2:8" x14ac:dyDescent="0.25">
      <c r="B198" s="11"/>
      <c r="C198" s="11"/>
      <c r="D198" s="12"/>
      <c r="E198" s="12"/>
      <c r="F198" s="12"/>
      <c r="G198" s="12"/>
      <c r="H198" s="12"/>
    </row>
    <row r="199" ht="20" customHeight="1" spans="2:8" x14ac:dyDescent="0.25">
      <c r="B199" s="13"/>
      <c r="C199" s="13"/>
      <c r="D199" s="14"/>
      <c r="E199" s="14"/>
      <c r="F199" s="14"/>
      <c r="G199" s="14"/>
      <c r="H199" s="14"/>
    </row>
    <row r="200" ht="20" customHeight="1" spans="2:8" x14ac:dyDescent="0.25">
      <c r="B200" s="11"/>
      <c r="C200" s="11"/>
      <c r="D200" s="12"/>
      <c r="E200" s="12"/>
      <c r="F200" s="12"/>
      <c r="G200" s="12"/>
      <c r="H200" s="12"/>
    </row>
    <row r="201" ht="20" customHeight="1" spans="2:8" x14ac:dyDescent="0.25">
      <c r="B201" s="13"/>
      <c r="C201" s="13"/>
      <c r="D201" s="14"/>
      <c r="E201" s="14"/>
      <c r="F201" s="14"/>
      <c r="G201" s="14"/>
      <c r="H201" s="14"/>
    </row>
    <row r="202" ht="20" customHeight="1" spans="2:8" x14ac:dyDescent="0.25">
      <c r="B202" s="11"/>
      <c r="C202" s="11"/>
      <c r="D202" s="12"/>
      <c r="E202" s="12"/>
      <c r="F202" s="12"/>
      <c r="G202" s="12"/>
      <c r="H202" s="12"/>
    </row>
    <row r="203" ht="20" customHeight="1" spans="2:8" x14ac:dyDescent="0.25">
      <c r="B203" s="13"/>
      <c r="C203" s="13"/>
      <c r="D203" s="14"/>
      <c r="E203" s="14"/>
      <c r="F203" s="14"/>
      <c r="G203" s="14"/>
      <c r="H203" s="14"/>
    </row>
    <row r="204" ht="20" customHeight="1" spans="2:8" x14ac:dyDescent="0.25">
      <c r="B204" s="11"/>
      <c r="C204" s="11"/>
      <c r="D204" s="12"/>
      <c r="E204" s="12"/>
      <c r="F204" s="12"/>
      <c r="G204" s="12"/>
      <c r="H204" s="12"/>
    </row>
    <row r="205" ht="20" customHeight="1" spans="2:8" x14ac:dyDescent="0.25">
      <c r="B205" s="13"/>
      <c r="C205" s="13"/>
      <c r="D205" s="14"/>
      <c r="E205" s="14"/>
      <c r="F205" s="14"/>
      <c r="G205" s="14"/>
      <c r="H205" s="14"/>
    </row>
    <row r="206" ht="20" customHeight="1" spans="2:8" x14ac:dyDescent="0.25">
      <c r="B206" s="11"/>
      <c r="C206" s="11"/>
      <c r="D206" s="12"/>
      <c r="E206" s="12"/>
      <c r="F206" s="12"/>
      <c r="G206" s="12"/>
      <c r="H206" s="12"/>
    </row>
    <row r="207" ht="20" customHeight="1" spans="2:8" x14ac:dyDescent="0.25">
      <c r="B207" s="13"/>
      <c r="C207" s="13"/>
      <c r="D207" s="14"/>
      <c r="E207" s="14"/>
      <c r="F207" s="14"/>
      <c r="G207" s="14"/>
      <c r="H207" s="14"/>
    </row>
    <row r="208" ht="20" customHeight="1" spans="2:8" x14ac:dyDescent="0.25">
      <c r="B208" s="11"/>
      <c r="C208" s="11"/>
      <c r="D208" s="12"/>
      <c r="E208" s="12"/>
      <c r="F208" s="12"/>
      <c r="G208" s="12"/>
      <c r="H208" s="12"/>
    </row>
    <row r="209" ht="20" customHeight="1" spans="2:8" x14ac:dyDescent="0.25">
      <c r="B209" s="13"/>
      <c r="C209" s="13"/>
      <c r="D209" s="14"/>
      <c r="E209" s="14"/>
      <c r="F209" s="14"/>
      <c r="G209" s="14"/>
      <c r="H209" s="14"/>
    </row>
    <row r="210" ht="20" customHeight="1" spans="2:8" x14ac:dyDescent="0.25">
      <c r="B210" s="11"/>
      <c r="C210" s="11"/>
      <c r="D210" s="12"/>
      <c r="E210" s="12"/>
      <c r="F210" s="12"/>
      <c r="G210" s="12"/>
      <c r="H210" s="12"/>
    </row>
    <row r="211" ht="20" customHeight="1" spans="2:8" x14ac:dyDescent="0.25">
      <c r="B211" s="13"/>
      <c r="C211" s="13"/>
      <c r="D211" s="14"/>
      <c r="E211" s="14"/>
      <c r="F211" s="14"/>
      <c r="G211" s="14"/>
      <c r="H211" s="14"/>
    </row>
    <row r="212" ht="20" customHeight="1" spans="2:8" x14ac:dyDescent="0.25">
      <c r="B212" s="11"/>
      <c r="C212" s="11"/>
      <c r="D212" s="12"/>
      <c r="E212" s="12"/>
      <c r="F212" s="12"/>
      <c r="G212" s="12"/>
      <c r="H212" s="12"/>
    </row>
    <row r="213" ht="20" customHeight="1" spans="2:8" x14ac:dyDescent="0.25">
      <c r="B213" s="13"/>
      <c r="C213" s="13"/>
      <c r="D213" s="14"/>
      <c r="E213" s="14"/>
      <c r="F213" s="14"/>
      <c r="G213" s="14"/>
      <c r="H213" s="14"/>
    </row>
    <row r="214" ht="20" customHeight="1" spans="2:8" x14ac:dyDescent="0.25">
      <c r="B214" s="11"/>
      <c r="C214" s="11"/>
      <c r="D214" s="12"/>
      <c r="E214" s="12"/>
      <c r="F214" s="12"/>
      <c r="G214" s="12"/>
      <c r="H214" s="12"/>
    </row>
    <row r="215" ht="20" customHeight="1" spans="2:8" x14ac:dyDescent="0.25">
      <c r="B215" s="13"/>
      <c r="C215" s="13"/>
      <c r="D215" s="14"/>
      <c r="E215" s="14"/>
      <c r="F215" s="14"/>
      <c r="G215" s="14"/>
      <c r="H215" s="14"/>
    </row>
    <row r="216" ht="20" customHeight="1" spans="2:8" x14ac:dyDescent="0.25">
      <c r="B216" s="11"/>
      <c r="C216" s="11"/>
      <c r="D216" s="12"/>
      <c r="E216" s="12"/>
      <c r="F216" s="12"/>
      <c r="G216" s="12"/>
      <c r="H216" s="12"/>
    </row>
    <row r="217" ht="20" customHeight="1" spans="2:8" x14ac:dyDescent="0.25">
      <c r="B217" s="13"/>
      <c r="C217" s="13"/>
      <c r="D217" s="14"/>
      <c r="E217" s="14"/>
      <c r="F217" s="14"/>
      <c r="G217" s="14"/>
      <c r="H217" s="14"/>
    </row>
    <row r="218" ht="20" customHeight="1" spans="2:8" x14ac:dyDescent="0.25">
      <c r="B218" s="11"/>
      <c r="C218" s="11"/>
      <c r="D218" s="12"/>
      <c r="E218" s="12"/>
      <c r="F218" s="12"/>
      <c r="G218" s="12"/>
      <c r="H218" s="12"/>
    </row>
    <row r="219" ht="20" customHeight="1" spans="2:8" x14ac:dyDescent="0.25">
      <c r="B219" s="13"/>
      <c r="C219" s="13"/>
      <c r="D219" s="14"/>
      <c r="E219" s="14"/>
      <c r="F219" s="14"/>
      <c r="G219" s="14"/>
      <c r="H219" s="14"/>
    </row>
    <row r="220" ht="20" customHeight="1" spans="2:8" x14ac:dyDescent="0.25">
      <c r="B220" s="11"/>
      <c r="C220" s="11"/>
      <c r="D220" s="12"/>
      <c r="E220" s="12"/>
      <c r="F220" s="12"/>
      <c r="G220" s="12"/>
      <c r="H220" s="12"/>
    </row>
    <row r="221" ht="20" customHeight="1" spans="2:8" x14ac:dyDescent="0.25">
      <c r="B221" s="13"/>
      <c r="C221" s="13"/>
      <c r="D221" s="14"/>
      <c r="E221" s="14"/>
      <c r="F221" s="14"/>
      <c r="G221" s="14"/>
      <c r="H221" s="14"/>
    </row>
    <row r="222" ht="20" customHeight="1" spans="2:8" x14ac:dyDescent="0.25">
      <c r="B222" s="11"/>
      <c r="C222" s="11"/>
      <c r="D222" s="12"/>
      <c r="E222" s="12"/>
      <c r="F222" s="12"/>
      <c r="G222" s="12"/>
      <c r="H222" s="12"/>
    </row>
    <row r="223" ht="20" customHeight="1" spans="2:8" x14ac:dyDescent="0.25">
      <c r="B223" s="13"/>
      <c r="C223" s="13"/>
      <c r="D223" s="14"/>
      <c r="E223" s="14"/>
      <c r="F223" s="14"/>
      <c r="G223" s="14"/>
      <c r="H223" s="14"/>
    </row>
    <row r="224" ht="20" customHeight="1" spans="2:8" x14ac:dyDescent="0.25">
      <c r="B224" s="11"/>
      <c r="C224" s="11"/>
      <c r="D224" s="12"/>
      <c r="E224" s="12"/>
      <c r="F224" s="12"/>
      <c r="G224" s="12"/>
      <c r="H224" s="12"/>
    </row>
    <row r="225" ht="20" customHeight="1" spans="2:8" x14ac:dyDescent="0.25">
      <c r="B225" s="13"/>
      <c r="C225" s="13"/>
      <c r="D225" s="14"/>
      <c r="E225" s="14"/>
      <c r="F225" s="14"/>
      <c r="G225" s="14"/>
      <c r="H225" s="14"/>
    </row>
    <row r="226" ht="20" customHeight="1" spans="2:8" x14ac:dyDescent="0.25">
      <c r="B226" s="11"/>
      <c r="C226" s="11"/>
      <c r="D226" s="12"/>
      <c r="E226" s="12"/>
      <c r="F226" s="12"/>
      <c r="G226" s="12"/>
      <c r="H226" s="12"/>
    </row>
    <row r="227" ht="20" customHeight="1" spans="2:8" x14ac:dyDescent="0.25">
      <c r="B227" s="13"/>
      <c r="C227" s="13"/>
      <c r="D227" s="14"/>
      <c r="E227" s="14"/>
      <c r="F227" s="14"/>
      <c r="G227" s="14"/>
      <c r="H227" s="14"/>
    </row>
    <row r="228" ht="20" customHeight="1" spans="2:8" x14ac:dyDescent="0.25">
      <c r="B228" s="11"/>
      <c r="C228" s="11"/>
      <c r="D228" s="12"/>
      <c r="E228" s="12"/>
      <c r="F228" s="12"/>
      <c r="G228" s="12"/>
      <c r="H228" s="12"/>
    </row>
    <row r="229" ht="20" customHeight="1" spans="2:8" x14ac:dyDescent="0.25">
      <c r="B229" s="13"/>
      <c r="C229" s="13"/>
      <c r="D229" s="14"/>
      <c r="E229" s="14"/>
      <c r="F229" s="14"/>
      <c r="G229" s="14"/>
      <c r="H229" s="14"/>
    </row>
    <row r="230" ht="20" customHeight="1" spans="2:8" x14ac:dyDescent="0.25">
      <c r="B230" s="11"/>
      <c r="C230" s="11"/>
      <c r="D230" s="12"/>
      <c r="E230" s="12"/>
      <c r="F230" s="12"/>
      <c r="G230" s="12"/>
      <c r="H230" s="12"/>
    </row>
    <row r="231" ht="20" customHeight="1" spans="2:8" x14ac:dyDescent="0.25">
      <c r="B231" s="13"/>
      <c r="C231" s="13"/>
      <c r="D231" s="14"/>
      <c r="E231" s="14"/>
      <c r="F231" s="14"/>
      <c r="G231" s="14"/>
      <c r="H231" s="14"/>
    </row>
    <row r="232" ht="20" customHeight="1" spans="2:8" x14ac:dyDescent="0.25">
      <c r="B232" s="11"/>
      <c r="C232" s="11"/>
      <c r="D232" s="12"/>
      <c r="E232" s="12"/>
      <c r="F232" s="12"/>
      <c r="G232" s="12"/>
      <c r="H232" s="12"/>
    </row>
    <row r="233" ht="20" customHeight="1" spans="2:8" x14ac:dyDescent="0.25">
      <c r="B233" s="13"/>
      <c r="C233" s="13"/>
      <c r="D233" s="14"/>
      <c r="E233" s="14"/>
      <c r="F233" s="14"/>
      <c r="G233" s="14"/>
      <c r="H233" s="14"/>
    </row>
    <row r="234" ht="20" customHeight="1" spans="2:8" x14ac:dyDescent="0.25">
      <c r="B234" s="11"/>
      <c r="C234" s="11"/>
      <c r="D234" s="12"/>
      <c r="E234" s="12"/>
      <c r="F234" s="12"/>
      <c r="G234" s="12"/>
      <c r="H234" s="12"/>
    </row>
    <row r="235" ht="20" customHeight="1" spans="2:8" x14ac:dyDescent="0.25">
      <c r="B235" s="13"/>
      <c r="C235" s="13"/>
      <c r="D235" s="14"/>
      <c r="E235" s="14"/>
      <c r="F235" s="14"/>
      <c r="G235" s="14"/>
      <c r="H235" s="14"/>
    </row>
    <row r="236" ht="20" customHeight="1" spans="2:8" x14ac:dyDescent="0.25">
      <c r="B236" s="11"/>
      <c r="C236" s="11"/>
      <c r="D236" s="12"/>
      <c r="E236" s="12"/>
      <c r="F236" s="12"/>
      <c r="G236" s="12"/>
      <c r="H236" s="12"/>
    </row>
    <row r="237" ht="20" customHeight="1" spans="2:8" x14ac:dyDescent="0.25">
      <c r="B237" s="13"/>
      <c r="C237" s="13"/>
      <c r="D237" s="14"/>
      <c r="E237" s="14"/>
      <c r="F237" s="14"/>
      <c r="G237" s="14"/>
      <c r="H237" s="14"/>
    </row>
    <row r="238" ht="20" customHeight="1" spans="2:8" x14ac:dyDescent="0.25">
      <c r="B238" s="11"/>
      <c r="C238" s="11"/>
      <c r="D238" s="12"/>
      <c r="E238" s="12"/>
      <c r="F238" s="12"/>
      <c r="G238" s="12"/>
      <c r="H238" s="12"/>
    </row>
    <row r="239" ht="20" customHeight="1" spans="2:8" x14ac:dyDescent="0.25">
      <c r="B239" s="13"/>
      <c r="C239" s="13"/>
      <c r="D239" s="14"/>
      <c r="E239" s="14"/>
      <c r="F239" s="14"/>
      <c r="G239" s="14"/>
      <c r="H239" s="14"/>
    </row>
    <row r="240" ht="20" customHeight="1" spans="2:8" x14ac:dyDescent="0.25">
      <c r="B240" s="11"/>
      <c r="C240" s="11"/>
      <c r="D240" s="12"/>
      <c r="E240" s="12"/>
      <c r="F240" s="12"/>
      <c r="G240" s="12"/>
      <c r="H240" s="12"/>
    </row>
    <row r="241" ht="20" customHeight="1" spans="2:8" x14ac:dyDescent="0.25">
      <c r="B241" s="13"/>
      <c r="C241" s="13"/>
      <c r="D241" s="14"/>
      <c r="E241" s="14"/>
      <c r="F241" s="14"/>
      <c r="G241" s="14"/>
      <c r="H241" s="14"/>
    </row>
    <row r="242" ht="20" customHeight="1" spans="2:8" x14ac:dyDescent="0.25">
      <c r="B242" s="11"/>
      <c r="C242" s="11"/>
      <c r="D242" s="12"/>
      <c r="E242" s="12"/>
      <c r="F242" s="12"/>
      <c r="G242" s="12"/>
      <c r="H242" s="12"/>
    </row>
    <row r="243" ht="20" customHeight="1" spans="2:8" x14ac:dyDescent="0.25">
      <c r="B243" s="13"/>
      <c r="C243" s="13"/>
      <c r="D243" s="14"/>
      <c r="E243" s="14"/>
      <c r="F243" s="14"/>
      <c r="G243" s="14"/>
      <c r="H243" s="14"/>
    </row>
    <row r="244" ht="20" customHeight="1" spans="2:8" x14ac:dyDescent="0.25">
      <c r="B244" s="11"/>
      <c r="C244" s="11"/>
      <c r="D244" s="12"/>
      <c r="E244" s="12"/>
      <c r="F244" s="12"/>
      <c r="G244" s="12"/>
      <c r="H244" s="12"/>
    </row>
    <row r="245" ht="20" customHeight="1" spans="2:8" x14ac:dyDescent="0.25">
      <c r="B245" s="13"/>
      <c r="C245" s="13"/>
      <c r="D245" s="14"/>
      <c r="E245" s="14"/>
      <c r="F245" s="14"/>
      <c r="G245" s="14"/>
      <c r="H245" s="14"/>
    </row>
    <row r="246" ht="20" customHeight="1" spans="2:8" x14ac:dyDescent="0.25">
      <c r="B246" s="11"/>
      <c r="C246" s="11"/>
      <c r="D246" s="12"/>
      <c r="E246" s="12"/>
      <c r="F246" s="12"/>
      <c r="G246" s="12"/>
      <c r="H246" s="12"/>
    </row>
    <row r="247" ht="20" customHeight="1" spans="2:8" x14ac:dyDescent="0.25">
      <c r="B247" s="13"/>
      <c r="C247" s="13"/>
      <c r="D247" s="14"/>
      <c r="E247" s="14"/>
      <c r="F247" s="14"/>
      <c r="G247" s="14"/>
      <c r="H247" s="14"/>
    </row>
    <row r="248" ht="20" customHeight="1" spans="2:8" x14ac:dyDescent="0.25">
      <c r="B248" s="11"/>
      <c r="C248" s="11"/>
      <c r="D248" s="12"/>
      <c r="E248" s="12"/>
      <c r="F248" s="12"/>
      <c r="G248" s="12"/>
      <c r="H248" s="12"/>
    </row>
    <row r="249" ht="20" customHeight="1" spans="2:8" x14ac:dyDescent="0.25">
      <c r="B249" s="13"/>
      <c r="C249" s="13"/>
      <c r="D249" s="14"/>
      <c r="E249" s="14"/>
      <c r="F249" s="14"/>
      <c r="G249" s="14"/>
      <c r="H249" s="14"/>
    </row>
    <row r="250" ht="20" customHeight="1" spans="2:8" x14ac:dyDescent="0.25">
      <c r="B250" s="11"/>
      <c r="C250" s="11"/>
      <c r="D250" s="12"/>
      <c r="E250" s="12"/>
      <c r="F250" s="12"/>
      <c r="G250" s="12"/>
      <c r="H250" s="12"/>
    </row>
    <row r="251" ht="20" customHeight="1" spans="2:8" x14ac:dyDescent="0.25">
      <c r="B251" s="13"/>
      <c r="C251" s="13"/>
      <c r="D251" s="14"/>
      <c r="E251" s="14"/>
      <c r="F251" s="14"/>
      <c r="G251" s="14"/>
      <c r="H251" s="14"/>
    </row>
    <row r="252" ht="20" customHeight="1" spans="2:8" x14ac:dyDescent="0.25">
      <c r="B252" s="11"/>
      <c r="C252" s="11"/>
      <c r="D252" s="12"/>
      <c r="E252" s="12"/>
      <c r="F252" s="12"/>
      <c r="G252" s="12"/>
      <c r="H252" s="12"/>
    </row>
    <row r="253" ht="20" customHeight="1" spans="2:8" x14ac:dyDescent="0.25">
      <c r="B253" s="13"/>
      <c r="C253" s="13"/>
      <c r="D253" s="14"/>
      <c r="E253" s="14"/>
      <c r="F253" s="14"/>
      <c r="G253" s="14"/>
      <c r="H253" s="14"/>
    </row>
    <row r="254" ht="20" customHeight="1" spans="2:8" x14ac:dyDescent="0.25">
      <c r="B254" s="11"/>
      <c r="C254" s="11"/>
      <c r="D254" s="12"/>
      <c r="E254" s="12"/>
      <c r="F254" s="12"/>
      <c r="G254" s="12"/>
      <c r="H254" s="12"/>
    </row>
    <row r="255" ht="20" customHeight="1" spans="2:8" x14ac:dyDescent="0.25">
      <c r="B255" s="13"/>
      <c r="C255" s="13"/>
      <c r="D255" s="14"/>
      <c r="E255" s="14"/>
      <c r="F255" s="14"/>
      <c r="G255" s="14"/>
      <c r="H255" s="14"/>
    </row>
    <row r="256" ht="20" customHeight="1" spans="2:8" x14ac:dyDescent="0.25">
      <c r="B256" s="11"/>
      <c r="C256" s="11"/>
      <c r="D256" s="12"/>
      <c r="E256" s="12"/>
      <c r="F256" s="12"/>
      <c r="G256" s="12"/>
      <c r="H256" s="12"/>
    </row>
    <row r="257" ht="20" customHeight="1" spans="2:8" x14ac:dyDescent="0.25">
      <c r="B257" s="13"/>
      <c r="C257" s="13"/>
      <c r="D257" s="14"/>
      <c r="E257" s="14"/>
      <c r="F257" s="14"/>
      <c r="G257" s="14"/>
      <c r="H257" s="14"/>
    </row>
    <row r="258" ht="20" customHeight="1" spans="2:8" x14ac:dyDescent="0.25">
      <c r="B258" s="11"/>
      <c r="C258" s="11"/>
      <c r="D258" s="12"/>
      <c r="E258" s="12"/>
      <c r="F258" s="12"/>
      <c r="G258" s="12"/>
      <c r="H258" s="12"/>
    </row>
    <row r="259" ht="20" customHeight="1" spans="2:8" x14ac:dyDescent="0.25">
      <c r="B259" s="13"/>
      <c r="C259" s="13"/>
      <c r="D259" s="14"/>
      <c r="E259" s="14"/>
      <c r="F259" s="14"/>
      <c r="G259" s="14"/>
      <c r="H259" s="14"/>
    </row>
    <row r="260" ht="20" customHeight="1" spans="2:8" x14ac:dyDescent="0.25">
      <c r="B260" s="11"/>
      <c r="C260" s="11"/>
      <c r="D260" s="12"/>
      <c r="E260" s="12"/>
      <c r="F260" s="12"/>
      <c r="G260" s="12"/>
      <c r="H260" s="12"/>
    </row>
    <row r="261" ht="20" customHeight="1" spans="2:8" x14ac:dyDescent="0.25">
      <c r="B261" s="13"/>
      <c r="C261" s="13"/>
      <c r="D261" s="14"/>
      <c r="E261" s="14"/>
      <c r="F261" s="14"/>
      <c r="G261" s="14"/>
      <c r="H261" s="14"/>
    </row>
    <row r="262" ht="20" customHeight="1" spans="2:8" x14ac:dyDescent="0.25">
      <c r="B262" s="11"/>
      <c r="C262" s="11"/>
      <c r="D262" s="12"/>
      <c r="E262" s="12"/>
      <c r="F262" s="12"/>
      <c r="G262" s="12"/>
      <c r="H262" s="12"/>
    </row>
    <row r="263" ht="20" customHeight="1" spans="2:8" x14ac:dyDescent="0.25">
      <c r="B263" s="13"/>
      <c r="C263" s="13"/>
      <c r="D263" s="14"/>
      <c r="E263" s="14"/>
      <c r="F263" s="14"/>
      <c r="G263" s="14"/>
      <c r="H263" s="14"/>
    </row>
    <row r="264" ht="20" customHeight="1" spans="2:8" x14ac:dyDescent="0.25">
      <c r="B264" s="11"/>
      <c r="C264" s="11"/>
      <c r="D264" s="12"/>
      <c r="E264" s="12"/>
      <c r="F264" s="12"/>
      <c r="G264" s="12"/>
      <c r="H264" s="12"/>
    </row>
    <row r="265" ht="20" customHeight="1" spans="2:8" x14ac:dyDescent="0.25">
      <c r="B265" s="13"/>
      <c r="C265" s="13"/>
      <c r="D265" s="14"/>
      <c r="E265" s="14"/>
      <c r="F265" s="14"/>
      <c r="G265" s="14"/>
      <c r="H265" s="14"/>
    </row>
    <row r="266" ht="20" customHeight="1" spans="2:8" x14ac:dyDescent="0.25">
      <c r="B266" s="11"/>
      <c r="C266" s="11"/>
      <c r="D266" s="12"/>
      <c r="E266" s="12"/>
      <c r="F266" s="12"/>
      <c r="G266" s="12"/>
      <c r="H266" s="12"/>
    </row>
    <row r="267" ht="20" customHeight="1" spans="2:8" x14ac:dyDescent="0.25">
      <c r="B267" s="13"/>
      <c r="C267" s="13"/>
      <c r="D267" s="14"/>
      <c r="E267" s="14"/>
      <c r="F267" s="14"/>
      <c r="G267" s="14"/>
      <c r="H267" s="14"/>
    </row>
    <row r="268" ht="20" customHeight="1" spans="2:8" x14ac:dyDescent="0.25">
      <c r="B268" s="11"/>
      <c r="C268" s="11"/>
      <c r="D268" s="12"/>
      <c r="E268" s="12"/>
      <c r="F268" s="12"/>
      <c r="G268" s="12"/>
      <c r="H268" s="12"/>
    </row>
    <row r="269" ht="20" customHeight="1" spans="2:8" x14ac:dyDescent="0.25">
      <c r="B269" s="13"/>
      <c r="C269" s="13"/>
      <c r="D269" s="14"/>
      <c r="E269" s="14"/>
      <c r="F269" s="14"/>
      <c r="G269" s="14"/>
      <c r="H269" s="14"/>
    </row>
    <row r="270" ht="20" customHeight="1" spans="2:8" x14ac:dyDescent="0.25">
      <c r="B270" s="11"/>
      <c r="C270" s="11"/>
      <c r="D270" s="12"/>
      <c r="E270" s="12"/>
      <c r="F270" s="12"/>
      <c r="G270" s="12"/>
      <c r="H270" s="12"/>
    </row>
    <row r="271" ht="20" customHeight="1" spans="2:8" x14ac:dyDescent="0.25">
      <c r="B271" s="13"/>
      <c r="C271" s="13"/>
      <c r="D271" s="14"/>
      <c r="E271" s="14"/>
      <c r="F271" s="14"/>
      <c r="G271" s="14"/>
      <c r="H271" s="14"/>
    </row>
    <row r="272" ht="20" customHeight="1" spans="2:8" x14ac:dyDescent="0.25">
      <c r="B272" s="11"/>
      <c r="C272" s="11"/>
      <c r="D272" s="12"/>
      <c r="E272" s="12"/>
      <c r="F272" s="12"/>
      <c r="G272" s="12"/>
      <c r="H272" s="12"/>
    </row>
    <row r="273" ht="20" customHeight="1" spans="2:8" x14ac:dyDescent="0.25">
      <c r="B273" s="13"/>
      <c r="C273" s="13"/>
      <c r="D273" s="14"/>
      <c r="E273" s="14"/>
      <c r="F273" s="14"/>
      <c r="G273" s="14"/>
      <c r="H273" s="14"/>
    </row>
    <row r="274" ht="20" customHeight="1" spans="2:8" x14ac:dyDescent="0.25">
      <c r="B274" s="11"/>
      <c r="C274" s="11"/>
      <c r="D274" s="12"/>
      <c r="E274" s="12"/>
      <c r="F274" s="12"/>
      <c r="G274" s="12"/>
      <c r="H274" s="12"/>
    </row>
    <row r="275" ht="20" customHeight="1" spans="2:8" x14ac:dyDescent="0.25">
      <c r="B275" s="13"/>
      <c r="C275" s="13"/>
      <c r="D275" s="14"/>
      <c r="E275" s="14"/>
      <c r="F275" s="14"/>
      <c r="G275" s="14"/>
      <c r="H275" s="14"/>
    </row>
    <row r="276" ht="20" customHeight="1" spans="2:8" x14ac:dyDescent="0.25">
      <c r="B276" s="11"/>
      <c r="C276" s="11"/>
      <c r="D276" s="12"/>
      <c r="E276" s="12"/>
      <c r="F276" s="12"/>
      <c r="G276" s="12"/>
      <c r="H276" s="12"/>
    </row>
    <row r="277" ht="20" customHeight="1" spans="2:8" x14ac:dyDescent="0.25">
      <c r="B277" s="13"/>
      <c r="C277" s="13"/>
      <c r="D277" s="14"/>
      <c r="E277" s="14"/>
      <c r="F277" s="14"/>
      <c r="G277" s="14"/>
      <c r="H277" s="14"/>
    </row>
    <row r="278" ht="20" customHeight="1" spans="2:8" x14ac:dyDescent="0.25">
      <c r="B278" s="11"/>
      <c r="C278" s="11"/>
      <c r="D278" s="12"/>
      <c r="E278" s="12"/>
      <c r="F278" s="12"/>
      <c r="G278" s="12"/>
      <c r="H278" s="12"/>
    </row>
    <row r="279" ht="20" customHeight="1" spans="2:8" x14ac:dyDescent="0.25">
      <c r="B279" s="13"/>
      <c r="C279" s="13"/>
      <c r="D279" s="14"/>
      <c r="E279" s="14"/>
      <c r="F279" s="14"/>
      <c r="G279" s="14"/>
      <c r="H279" s="14"/>
    </row>
    <row r="280" ht="20" customHeight="1" spans="2:8" x14ac:dyDescent="0.25">
      <c r="B280" s="11"/>
      <c r="C280" s="11"/>
      <c r="D280" s="12"/>
      <c r="E280" s="12"/>
      <c r="F280" s="12"/>
      <c r="G280" s="12"/>
      <c r="H280" s="12"/>
    </row>
    <row r="281" ht="20" customHeight="1" spans="2:8" x14ac:dyDescent="0.25">
      <c r="B281" s="13"/>
      <c r="C281" s="13"/>
      <c r="D281" s="14"/>
      <c r="E281" s="14"/>
      <c r="F281" s="14"/>
      <c r="G281" s="14"/>
      <c r="H281" s="14"/>
    </row>
    <row r="282" ht="20" customHeight="1" spans="2:8" x14ac:dyDescent="0.25">
      <c r="B282" s="11"/>
      <c r="C282" s="11"/>
      <c r="D282" s="12"/>
      <c r="E282" s="12"/>
      <c r="F282" s="12"/>
      <c r="G282" s="12"/>
      <c r="H282" s="12"/>
    </row>
    <row r="283" ht="20" customHeight="1" spans="2:8" x14ac:dyDescent="0.25">
      <c r="B283" s="13"/>
      <c r="C283" s="13"/>
      <c r="D283" s="14"/>
      <c r="E283" s="14"/>
      <c r="F283" s="14"/>
      <c r="G283" s="14"/>
      <c r="H283" s="14"/>
    </row>
    <row r="284" ht="20" customHeight="1" spans="2:8" x14ac:dyDescent="0.25">
      <c r="B284" s="11"/>
      <c r="C284" s="11"/>
      <c r="D284" s="12"/>
      <c r="E284" s="12"/>
      <c r="F284" s="12"/>
      <c r="G284" s="12"/>
      <c r="H284" s="12"/>
    </row>
    <row r="285" ht="20" customHeight="1" spans="2:8" x14ac:dyDescent="0.25">
      <c r="B285" s="13"/>
      <c r="C285" s="13"/>
      <c r="D285" s="14"/>
      <c r="E285" s="14"/>
      <c r="F285" s="14"/>
      <c r="G285" s="14"/>
      <c r="H285" s="14"/>
    </row>
    <row r="286" ht="20" customHeight="1" spans="2:8" x14ac:dyDescent="0.25">
      <c r="B286" s="11"/>
      <c r="C286" s="11"/>
      <c r="D286" s="12"/>
      <c r="E286" s="12"/>
      <c r="F286" s="12"/>
      <c r="G286" s="12"/>
      <c r="H286" s="12"/>
    </row>
    <row r="287" ht="20" customHeight="1" spans="2:8" x14ac:dyDescent="0.25">
      <c r="B287" s="13"/>
      <c r="C287" s="13"/>
      <c r="D287" s="14"/>
      <c r="E287" s="14"/>
      <c r="F287" s="14"/>
      <c r="G287" s="14"/>
      <c r="H287" s="14"/>
    </row>
    <row r="288" ht="20" customHeight="1" spans="2:8" x14ac:dyDescent="0.25">
      <c r="B288" s="11"/>
      <c r="C288" s="11"/>
      <c r="D288" s="12"/>
      <c r="E288" s="12"/>
      <c r="F288" s="12"/>
      <c r="G288" s="12"/>
      <c r="H288" s="12"/>
    </row>
    <row r="289" ht="20" customHeight="1" spans="2:8" x14ac:dyDescent="0.25">
      <c r="B289" s="13"/>
      <c r="C289" s="13"/>
      <c r="D289" s="14"/>
      <c r="E289" s="14"/>
      <c r="F289" s="14"/>
      <c r="G289" s="14"/>
      <c r="H289" s="14"/>
    </row>
    <row r="290" ht="20" customHeight="1" spans="2:8" x14ac:dyDescent="0.25">
      <c r="B290" s="11"/>
      <c r="C290" s="11"/>
      <c r="D290" s="12"/>
      <c r="E290" s="12"/>
      <c r="F290" s="12"/>
      <c r="G290" s="12"/>
      <c r="H290" s="12"/>
    </row>
    <row r="291" ht="20" customHeight="1" spans="2:8" x14ac:dyDescent="0.25">
      <c r="B291" s="13"/>
      <c r="C291" s="13"/>
      <c r="D291" s="14"/>
      <c r="E291" s="14"/>
      <c r="F291" s="14"/>
      <c r="G291" s="14"/>
      <c r="H291" s="14"/>
    </row>
    <row r="292" ht="20" customHeight="1" spans="2:8" x14ac:dyDescent="0.25">
      <c r="B292" s="11"/>
      <c r="C292" s="11"/>
      <c r="D292" s="12"/>
      <c r="E292" s="12"/>
      <c r="F292" s="12"/>
      <c r="G292" s="12"/>
      <c r="H292" s="12"/>
    </row>
    <row r="293" ht="20" customHeight="1" spans="2:8" x14ac:dyDescent="0.25">
      <c r="B293" s="13"/>
      <c r="C293" s="13"/>
      <c r="D293" s="14"/>
      <c r="E293" s="14"/>
      <c r="F293" s="14"/>
      <c r="G293" s="14"/>
      <c r="H293" s="14"/>
    </row>
    <row r="294" ht="20" customHeight="1" spans="2:8" x14ac:dyDescent="0.25">
      <c r="B294" s="11"/>
      <c r="C294" s="11"/>
      <c r="D294" s="12"/>
      <c r="E294" s="12"/>
      <c r="F294" s="12"/>
      <c r="G294" s="12"/>
      <c r="H294" s="12"/>
    </row>
    <row r="295" ht="20" customHeight="1" spans="2:8" x14ac:dyDescent="0.25">
      <c r="B295" s="13"/>
      <c r="C295" s="13"/>
      <c r="D295" s="14"/>
      <c r="E295" s="14"/>
      <c r="F295" s="14"/>
      <c r="G295" s="14"/>
      <c r="H295" s="14"/>
    </row>
    <row r="296" ht="20" customHeight="1" spans="2:8" x14ac:dyDescent="0.25">
      <c r="B296" s="11"/>
      <c r="C296" s="11"/>
      <c r="D296" s="12"/>
      <c r="E296" s="12"/>
      <c r="F296" s="12"/>
      <c r="G296" s="12"/>
      <c r="H296" s="12"/>
    </row>
    <row r="297" ht="20" customHeight="1" spans="2:8" x14ac:dyDescent="0.25">
      <c r="B297" s="13"/>
      <c r="C297" s="13"/>
      <c r="D297" s="14"/>
      <c r="E297" s="14"/>
      <c r="F297" s="14"/>
      <c r="G297" s="14"/>
      <c r="H297" s="14"/>
    </row>
    <row r="298" ht="20" customHeight="1" spans="2:8" x14ac:dyDescent="0.25">
      <c r="B298" s="11"/>
      <c r="C298" s="11"/>
      <c r="D298" s="12"/>
      <c r="E298" s="12"/>
      <c r="F298" s="12"/>
      <c r="G298" s="12"/>
      <c r="H298" s="12"/>
    </row>
    <row r="299" ht="20" customHeight="1" spans="2:8" x14ac:dyDescent="0.25">
      <c r="B299" s="13"/>
      <c r="C299" s="13"/>
      <c r="D299" s="14"/>
      <c r="E299" s="14"/>
      <c r="F299" s="14"/>
      <c r="G299" s="14"/>
      <c r="H299" s="14"/>
    </row>
    <row r="300" ht="20" customHeight="1" spans="2:8" x14ac:dyDescent="0.25">
      <c r="B300" s="11"/>
      <c r="C300" s="11"/>
      <c r="D300" s="12"/>
      <c r="E300" s="12"/>
      <c r="F300" s="12"/>
      <c r="G300" s="12"/>
      <c r="H300" s="12"/>
    </row>
    <row r="301" ht="20" customHeight="1" spans="2:8" x14ac:dyDescent="0.25">
      <c r="B301" s="13"/>
      <c r="C301" s="13"/>
      <c r="D301" s="14"/>
      <c r="E301" s="14"/>
      <c r="F301" s="14"/>
      <c r="G301" s="14"/>
      <c r="H301" s="14"/>
    </row>
    <row r="302" ht="20" customHeight="1" spans="2:8" x14ac:dyDescent="0.25">
      <c r="B302" s="11"/>
      <c r="C302" s="11"/>
      <c r="D302" s="12"/>
      <c r="E302" s="12"/>
      <c r="F302" s="12"/>
      <c r="G302" s="12"/>
      <c r="H302" s="12"/>
    </row>
    <row r="303" ht="20" customHeight="1" spans="2:8" x14ac:dyDescent="0.25">
      <c r="B303" s="13"/>
      <c r="C303" s="13"/>
      <c r="D303" s="14"/>
      <c r="E303" s="14"/>
      <c r="F303" s="14"/>
      <c r="G303" s="14"/>
      <c r="H303" s="14"/>
    </row>
    <row r="304" ht="20" customHeight="1" spans="2:8" x14ac:dyDescent="0.25">
      <c r="B304" s="11"/>
      <c r="C304" s="11"/>
      <c r="D304" s="12"/>
      <c r="E304" s="12"/>
      <c r="F304" s="12"/>
      <c r="G304" s="12"/>
      <c r="H304" s="12"/>
    </row>
    <row r="305" ht="20" customHeight="1" spans="2:8" x14ac:dyDescent="0.25">
      <c r="B305" s="13"/>
      <c r="C305" s="13"/>
      <c r="D305" s="14"/>
      <c r="E305" s="14"/>
      <c r="F305" s="14"/>
      <c r="G305" s="14"/>
      <c r="H305" s="14"/>
    </row>
    <row r="306" ht="20" customHeight="1" spans="2:8" x14ac:dyDescent="0.25">
      <c r="B306" s="11"/>
      <c r="C306" s="11"/>
      <c r="D306" s="12"/>
      <c r="E306" s="12"/>
      <c r="F306" s="12"/>
      <c r="G306" s="12"/>
      <c r="H306" s="12"/>
    </row>
    <row r="307" ht="20" customHeight="1" spans="2:8" x14ac:dyDescent="0.25">
      <c r="B307" s="13"/>
      <c r="C307" s="13"/>
      <c r="D307" s="14"/>
      <c r="E307" s="14"/>
      <c r="F307" s="14"/>
      <c r="G307" s="14"/>
      <c r="H307" s="14"/>
    </row>
    <row r="308" ht="20" customHeight="1" spans="2:8" x14ac:dyDescent="0.25">
      <c r="B308" s="11"/>
      <c r="C308" s="11"/>
      <c r="D308" s="12"/>
      <c r="E308" s="12"/>
      <c r="F308" s="12"/>
      <c r="G308" s="12"/>
      <c r="H308" s="12"/>
    </row>
    <row r="309" ht="20" customHeight="1" spans="2:8" x14ac:dyDescent="0.25">
      <c r="B309" s="13"/>
      <c r="C309" s="13"/>
      <c r="D309" s="14"/>
      <c r="E309" s="14"/>
      <c r="F309" s="14"/>
      <c r="G309" s="14"/>
      <c r="H309" s="14"/>
    </row>
    <row r="310" ht="20" customHeight="1" spans="2:8" x14ac:dyDescent="0.25">
      <c r="B310" s="11"/>
      <c r="C310" s="11"/>
      <c r="D310" s="12"/>
      <c r="E310" s="12"/>
      <c r="F310" s="12"/>
      <c r="G310" s="12"/>
      <c r="H310" s="12"/>
    </row>
    <row r="311" ht="20" customHeight="1" spans="2:8" x14ac:dyDescent="0.25">
      <c r="B311" s="13"/>
      <c r="C311" s="13"/>
      <c r="D311" s="14"/>
      <c r="E311" s="14"/>
      <c r="F311" s="14"/>
      <c r="G311" s="14"/>
      <c r="H311" s="14"/>
    </row>
    <row r="312" ht="20" customHeight="1" spans="2:8" x14ac:dyDescent="0.25">
      <c r="B312" s="11"/>
      <c r="C312" s="11"/>
      <c r="D312" s="12"/>
      <c r="E312" s="12"/>
      <c r="F312" s="12"/>
      <c r="G312" s="12"/>
      <c r="H312" s="12"/>
    </row>
    <row r="313" ht="20" customHeight="1" spans="2:8" x14ac:dyDescent="0.25">
      <c r="B313" s="13"/>
      <c r="C313" s="13"/>
      <c r="D313" s="14"/>
      <c r="E313" s="14"/>
      <c r="F313" s="14"/>
      <c r="G313" s="14"/>
      <c r="H313" s="14"/>
    </row>
    <row r="314" ht="20" customHeight="1" spans="2:8" x14ac:dyDescent="0.25">
      <c r="B314" s="11"/>
      <c r="C314" s="11"/>
      <c r="D314" s="12"/>
      <c r="E314" s="12"/>
      <c r="F314" s="12"/>
      <c r="G314" s="12"/>
      <c r="H314" s="12"/>
    </row>
    <row r="315" ht="20" customHeight="1" spans="2:8" x14ac:dyDescent="0.25">
      <c r="B315" s="13"/>
      <c r="C315" s="13"/>
      <c r="D315" s="14"/>
      <c r="E315" s="14"/>
      <c r="F315" s="14"/>
      <c r="G315" s="14"/>
      <c r="H315" s="14"/>
    </row>
    <row r="316" ht="20" customHeight="1" spans="2:8" x14ac:dyDescent="0.25">
      <c r="B316" s="11"/>
      <c r="C316" s="11"/>
      <c r="D316" s="12"/>
      <c r="E316" s="12"/>
      <c r="F316" s="12"/>
      <c r="G316" s="12"/>
      <c r="H316" s="12"/>
    </row>
    <row r="317" ht="20" customHeight="1" spans="2:8" x14ac:dyDescent="0.25">
      <c r="B317" s="13"/>
      <c r="C317" s="13"/>
      <c r="D317" s="14"/>
      <c r="E317" s="14"/>
      <c r="F317" s="14"/>
      <c r="G317" s="14"/>
      <c r="H317" s="14"/>
    </row>
    <row r="318" ht="20" customHeight="1" spans="2:8" x14ac:dyDescent="0.25">
      <c r="B318" s="11"/>
      <c r="C318" s="11"/>
      <c r="D318" s="12"/>
      <c r="E318" s="12"/>
      <c r="F318" s="12"/>
      <c r="G318" s="12"/>
      <c r="H318" s="12"/>
    </row>
    <row r="319" ht="20" customHeight="1" spans="2:8" x14ac:dyDescent="0.25">
      <c r="B319" s="13"/>
      <c r="C319" s="13"/>
      <c r="D319" s="14"/>
      <c r="E319" s="14"/>
      <c r="F319" s="14"/>
      <c r="G319" s="14"/>
      <c r="H319" s="14"/>
    </row>
    <row r="320" ht="20" customHeight="1" spans="2:8" x14ac:dyDescent="0.25">
      <c r="B320" s="11"/>
      <c r="C320" s="11"/>
      <c r="D320" s="12"/>
      <c r="E320" s="12"/>
      <c r="F320" s="12"/>
      <c r="G320" s="12"/>
      <c r="H320" s="12"/>
    </row>
    <row r="321" ht="20" customHeight="1" spans="2:8" x14ac:dyDescent="0.25">
      <c r="B321" s="13"/>
      <c r="C321" s="13"/>
      <c r="D321" s="14"/>
      <c r="E321" s="14"/>
      <c r="F321" s="14"/>
      <c r="G321" s="14"/>
      <c r="H321" s="14"/>
    </row>
    <row r="322" ht="20" customHeight="1" spans="2:8" x14ac:dyDescent="0.25">
      <c r="B322" s="11"/>
      <c r="C322" s="11"/>
      <c r="D322" s="12"/>
      <c r="E322" s="12"/>
      <c r="F322" s="12"/>
      <c r="G322" s="12"/>
      <c r="H322" s="12"/>
    </row>
    <row r="323" ht="20" customHeight="1" spans="2:8" x14ac:dyDescent="0.25">
      <c r="B323" s="13"/>
      <c r="C323" s="13"/>
      <c r="D323" s="14"/>
      <c r="E323" s="14"/>
      <c r="F323" s="14"/>
      <c r="G323" s="14"/>
      <c r="H323" s="14"/>
    </row>
    <row r="324" ht="20" customHeight="1" spans="2:8" x14ac:dyDescent="0.25">
      <c r="B324" s="11"/>
      <c r="C324" s="11"/>
      <c r="D324" s="12"/>
      <c r="E324" s="12"/>
      <c r="F324" s="12"/>
      <c r="G324" s="12"/>
      <c r="H324" s="12"/>
    </row>
    <row r="325" ht="20" customHeight="1" spans="2:8" x14ac:dyDescent="0.25">
      <c r="B325" s="13"/>
      <c r="C325" s="13"/>
      <c r="D325" s="14"/>
      <c r="E325" s="14"/>
      <c r="F325" s="14"/>
      <c r="G325" s="14"/>
      <c r="H325" s="14"/>
    </row>
    <row r="326" ht="20" customHeight="1" spans="2:8" x14ac:dyDescent="0.25">
      <c r="B326" s="11"/>
      <c r="C326" s="11"/>
      <c r="D326" s="12"/>
      <c r="E326" s="12"/>
      <c r="F326" s="12"/>
      <c r="G326" s="12"/>
      <c r="H326" s="12"/>
    </row>
    <row r="327" ht="20" customHeight="1" spans="2:8" x14ac:dyDescent="0.25">
      <c r="B327" s="13"/>
      <c r="C327" s="13"/>
      <c r="D327" s="14"/>
      <c r="E327" s="14"/>
      <c r="F327" s="14"/>
      <c r="G327" s="14"/>
      <c r="H327" s="14"/>
    </row>
    <row r="328" ht="20" customHeight="1" spans="2:8" x14ac:dyDescent="0.25">
      <c r="B328" s="11"/>
      <c r="C328" s="11"/>
      <c r="D328" s="12"/>
      <c r="E328" s="12"/>
      <c r="F328" s="12"/>
      <c r="G328" s="12"/>
      <c r="H328" s="12"/>
    </row>
    <row r="329" ht="20" customHeight="1" spans="2:8" x14ac:dyDescent="0.25">
      <c r="B329" s="13"/>
      <c r="C329" s="13"/>
      <c r="D329" s="14"/>
      <c r="E329" s="14"/>
      <c r="F329" s="14"/>
      <c r="G329" s="14"/>
      <c r="H329" s="14"/>
    </row>
    <row r="330" ht="20" customHeight="1" spans="2:8" x14ac:dyDescent="0.25">
      <c r="B330" s="11"/>
      <c r="C330" s="11"/>
      <c r="D330" s="12"/>
      <c r="E330" s="12"/>
      <c r="F330" s="12"/>
      <c r="G330" s="12"/>
      <c r="H330" s="12"/>
    </row>
    <row r="331" ht="20" customHeight="1" spans="2:8" x14ac:dyDescent="0.25">
      <c r="B331" s="13"/>
      <c r="C331" s="13"/>
      <c r="D331" s="14"/>
      <c r="E331" s="14"/>
      <c r="F331" s="14"/>
      <c r="G331" s="14"/>
      <c r="H331" s="14"/>
    </row>
    <row r="332" ht="20" customHeight="1" spans="2:8" x14ac:dyDescent="0.25">
      <c r="B332" s="11"/>
      <c r="C332" s="11"/>
      <c r="D332" s="12"/>
      <c r="E332" s="12"/>
      <c r="F332" s="12"/>
      <c r="G332" s="12"/>
      <c r="H332" s="12"/>
    </row>
    <row r="333" ht="20" customHeight="1" spans="2:8" x14ac:dyDescent="0.25">
      <c r="B333" s="13"/>
      <c r="C333" s="13"/>
      <c r="D333" s="14"/>
      <c r="E333" s="14"/>
      <c r="F333" s="14"/>
      <c r="G333" s="14"/>
      <c r="H333" s="14"/>
    </row>
    <row r="334" ht="20" customHeight="1" spans="2:8" x14ac:dyDescent="0.25">
      <c r="B334" s="11"/>
      <c r="C334" s="11"/>
      <c r="D334" s="12"/>
      <c r="E334" s="12"/>
      <c r="F334" s="12"/>
      <c r="G334" s="12"/>
      <c r="H334" s="12"/>
    </row>
    <row r="335" ht="20" customHeight="1" spans="2:8" x14ac:dyDescent="0.25">
      <c r="B335" s="13"/>
      <c r="C335" s="13"/>
      <c r="D335" s="14"/>
      <c r="E335" s="14"/>
      <c r="F335" s="14"/>
      <c r="G335" s="14"/>
      <c r="H335" s="14"/>
    </row>
    <row r="336" ht="20" customHeight="1" spans="2:8" x14ac:dyDescent="0.25">
      <c r="B336" s="11"/>
      <c r="C336" s="11"/>
      <c r="D336" s="12"/>
      <c r="E336" s="12"/>
      <c r="F336" s="12"/>
      <c r="G336" s="12"/>
      <c r="H336" s="12"/>
    </row>
    <row r="337" ht="20" customHeight="1" spans="2:8" x14ac:dyDescent="0.25">
      <c r="B337" s="13"/>
      <c r="C337" s="13"/>
      <c r="D337" s="14"/>
      <c r="E337" s="14"/>
      <c r="F337" s="14"/>
      <c r="G337" s="14"/>
      <c r="H337" s="14"/>
    </row>
    <row r="338" ht="20" customHeight="1" spans="2:8" x14ac:dyDescent="0.25">
      <c r="B338" s="11"/>
      <c r="C338" s="11"/>
      <c r="D338" s="12"/>
      <c r="E338" s="12"/>
      <c r="F338" s="12"/>
      <c r="G338" s="12"/>
      <c r="H338" s="12"/>
    </row>
    <row r="339" ht="20" customHeight="1" spans="2:8" x14ac:dyDescent="0.25">
      <c r="B339" s="13"/>
      <c r="C339" s="13"/>
      <c r="D339" s="14"/>
      <c r="E339" s="14"/>
      <c r="F339" s="14"/>
      <c r="G339" s="14"/>
      <c r="H339" s="14"/>
    </row>
    <row r="340" ht="20" customHeight="1" spans="2:8" x14ac:dyDescent="0.25">
      <c r="B340" s="11"/>
      <c r="C340" s="11"/>
      <c r="D340" s="12"/>
      <c r="E340" s="12"/>
      <c r="F340" s="12"/>
      <c r="G340" s="12"/>
      <c r="H340" s="12"/>
    </row>
    <row r="341" ht="20" customHeight="1" spans="2:8" x14ac:dyDescent="0.25">
      <c r="B341" s="13"/>
      <c r="C341" s="13"/>
      <c r="D341" s="14"/>
      <c r="E341" s="14"/>
      <c r="F341" s="14"/>
      <c r="G341" s="14"/>
      <c r="H341" s="14"/>
    </row>
    <row r="342" ht="20" customHeight="1" spans="2:8" x14ac:dyDescent="0.25">
      <c r="B342" s="11"/>
      <c r="C342" s="11"/>
      <c r="D342" s="12"/>
      <c r="E342" s="12"/>
      <c r="F342" s="12"/>
      <c r="G342" s="12"/>
      <c r="H342" s="12"/>
    </row>
    <row r="343" ht="20" customHeight="1" spans="2:8" x14ac:dyDescent="0.25">
      <c r="B343" s="13"/>
      <c r="C343" s="13"/>
      <c r="D343" s="14"/>
      <c r="E343" s="14"/>
      <c r="F343" s="14"/>
      <c r="G343" s="14"/>
      <c r="H343" s="14"/>
    </row>
    <row r="344" ht="20" customHeight="1" spans="2:8" x14ac:dyDescent="0.25">
      <c r="B344" s="11"/>
      <c r="C344" s="11"/>
      <c r="D344" s="12"/>
      <c r="E344" s="12"/>
      <c r="F344" s="12"/>
      <c r="G344" s="12"/>
      <c r="H344" s="12"/>
    </row>
    <row r="345" ht="20" customHeight="1" spans="2:8" x14ac:dyDescent="0.25">
      <c r="B345" s="13"/>
      <c r="C345" s="13"/>
      <c r="D345" s="14"/>
      <c r="E345" s="14"/>
      <c r="F345" s="14"/>
      <c r="G345" s="14"/>
      <c r="H345" s="14"/>
    </row>
    <row r="346" ht="20" customHeight="1" spans="2:8" x14ac:dyDescent="0.25">
      <c r="B346" s="11"/>
      <c r="C346" s="11"/>
      <c r="D346" s="12"/>
      <c r="E346" s="12"/>
      <c r="F346" s="12"/>
      <c r="G346" s="12"/>
      <c r="H346" s="12"/>
    </row>
    <row r="347" ht="20" customHeight="1" spans="2:8" x14ac:dyDescent="0.25">
      <c r="B347" s="13"/>
      <c r="C347" s="13"/>
      <c r="D347" s="14"/>
      <c r="E347" s="14"/>
      <c r="F347" s="14"/>
      <c r="G347" s="14"/>
      <c r="H347" s="14"/>
    </row>
    <row r="348" ht="20" customHeight="1" spans="2:8" x14ac:dyDescent="0.25">
      <c r="B348" s="11"/>
      <c r="C348" s="11"/>
      <c r="D348" s="12"/>
      <c r="E348" s="12"/>
      <c r="F348" s="12"/>
      <c r="G348" s="12"/>
      <c r="H348" s="12"/>
    </row>
    <row r="349" ht="20" customHeight="1" spans="2:8" x14ac:dyDescent="0.25">
      <c r="B349" s="13"/>
      <c r="C349" s="13"/>
      <c r="D349" s="14"/>
      <c r="E349" s="14"/>
      <c r="F349" s="14"/>
      <c r="G349" s="14"/>
      <c r="H349" s="14"/>
    </row>
    <row r="350" ht="20" customHeight="1" spans="2:8" x14ac:dyDescent="0.25">
      <c r="B350" s="11"/>
      <c r="C350" s="11"/>
      <c r="D350" s="12"/>
      <c r="E350" s="12"/>
      <c r="F350" s="12"/>
      <c r="G350" s="12"/>
      <c r="H350" s="12"/>
    </row>
    <row r="351" ht="20" customHeight="1" spans="2:8" x14ac:dyDescent="0.25">
      <c r="B351" s="13"/>
      <c r="C351" s="13"/>
      <c r="D351" s="14"/>
      <c r="E351" s="14"/>
      <c r="F351" s="14"/>
      <c r="G351" s="14"/>
      <c r="H351" s="14"/>
    </row>
    <row r="352" ht="20" customHeight="1" spans="2:8" x14ac:dyDescent="0.25">
      <c r="B352" s="11"/>
      <c r="C352" s="11"/>
      <c r="D352" s="12"/>
      <c r="E352" s="12"/>
      <c r="F352" s="12"/>
      <c r="G352" s="12"/>
      <c r="H352" s="12"/>
    </row>
    <row r="353" ht="20" customHeight="1" spans="2:8" x14ac:dyDescent="0.25">
      <c r="B353" s="13"/>
      <c r="C353" s="13"/>
      <c r="D353" s="14"/>
      <c r="E353" s="14"/>
      <c r="F353" s="14"/>
      <c r="G353" s="14"/>
      <c r="H353" s="14"/>
    </row>
    <row r="354" ht="20" customHeight="1" spans="2:8" x14ac:dyDescent="0.25">
      <c r="B354" s="11"/>
      <c r="C354" s="11"/>
      <c r="D354" s="12"/>
      <c r="E354" s="12"/>
      <c r="F354" s="12"/>
      <c r="G354" s="12"/>
      <c r="H354" s="12"/>
    </row>
    <row r="355" ht="20" customHeight="1" spans="2:8" x14ac:dyDescent="0.25">
      <c r="B355" s="13"/>
      <c r="C355" s="13"/>
      <c r="D355" s="14"/>
      <c r="E355" s="14"/>
      <c r="F355" s="14"/>
      <c r="G355" s="14"/>
      <c r="H355" s="14"/>
    </row>
    <row r="356" ht="20" customHeight="1" spans="2:8" x14ac:dyDescent="0.25">
      <c r="B356" s="11"/>
      <c r="C356" s="11"/>
      <c r="D356" s="12"/>
      <c r="E356" s="12"/>
      <c r="F356" s="12"/>
      <c r="G356" s="12"/>
      <c r="H356" s="12"/>
    </row>
    <row r="357" ht="20" customHeight="1" spans="2:8" x14ac:dyDescent="0.25">
      <c r="B357" s="13"/>
      <c r="C357" s="13"/>
      <c r="D357" s="14"/>
      <c r="E357" s="14"/>
      <c r="F357" s="14"/>
      <c r="G357" s="14"/>
      <c r="H357" s="14"/>
    </row>
    <row r="358" ht="20" customHeight="1" spans="2:8" x14ac:dyDescent="0.25">
      <c r="B358" s="11"/>
      <c r="C358" s="11"/>
      <c r="D358" s="12"/>
      <c r="E358" s="12"/>
      <c r="F358" s="12"/>
      <c r="G358" s="12"/>
      <c r="H358" s="12"/>
    </row>
    <row r="359" ht="20" customHeight="1" spans="2:8" x14ac:dyDescent="0.25">
      <c r="B359" s="13"/>
      <c r="C359" s="13"/>
      <c r="D359" s="14"/>
      <c r="E359" s="14"/>
      <c r="F359" s="14"/>
      <c r="G359" s="14"/>
      <c r="H359" s="14"/>
    </row>
    <row r="360" ht="20" customHeight="1" spans="2:8" x14ac:dyDescent="0.25">
      <c r="B360" s="11"/>
      <c r="C360" s="11"/>
      <c r="D360" s="12"/>
      <c r="E360" s="12"/>
      <c r="F360" s="12"/>
      <c r="G360" s="12"/>
      <c r="H360" s="12"/>
    </row>
    <row r="361" ht="20" customHeight="1" spans="2:8" x14ac:dyDescent="0.25">
      <c r="B361" s="13"/>
      <c r="C361" s="13"/>
      <c r="D361" s="14"/>
      <c r="E361" s="14"/>
      <c r="F361" s="14"/>
      <c r="G361" s="14"/>
      <c r="H361" s="14"/>
    </row>
    <row r="362" ht="20" customHeight="1" spans="2:8" x14ac:dyDescent="0.25">
      <c r="B362" s="11"/>
      <c r="C362" s="11"/>
      <c r="D362" s="12"/>
      <c r="E362" s="12"/>
      <c r="F362" s="12"/>
      <c r="G362" s="12"/>
      <c r="H362" s="12"/>
    </row>
    <row r="363" ht="20" customHeight="1" spans="2:8" x14ac:dyDescent="0.25">
      <c r="B363" s="13"/>
      <c r="C363" s="13"/>
      <c r="D363" s="14"/>
      <c r="E363" s="14"/>
      <c r="F363" s="14"/>
      <c r="G363" s="14"/>
      <c r="H363" s="14"/>
    </row>
    <row r="364" ht="20" customHeight="1" spans="2:8" x14ac:dyDescent="0.25">
      <c r="B364" s="11"/>
      <c r="C364" s="11"/>
      <c r="D364" s="12"/>
      <c r="E364" s="12"/>
      <c r="F364" s="12"/>
      <c r="G364" s="12"/>
      <c r="H364" s="12"/>
    </row>
    <row r="365" ht="20" customHeight="1" spans="2:8" x14ac:dyDescent="0.25">
      <c r="B365" s="13"/>
      <c r="C365" s="13"/>
      <c r="D365" s="14"/>
      <c r="E365" s="14"/>
      <c r="F365" s="14"/>
      <c r="G365" s="14"/>
      <c r="H365" s="14"/>
    </row>
    <row r="366" ht="20" customHeight="1" spans="2:8" x14ac:dyDescent="0.25">
      <c r="B366" s="11"/>
      <c r="C366" s="11"/>
      <c r="D366" s="12"/>
      <c r="E366" s="12"/>
      <c r="F366" s="12"/>
      <c r="G366" s="12"/>
      <c r="H366" s="12"/>
    </row>
    <row r="367" ht="20" customHeight="1" spans="2:8" x14ac:dyDescent="0.25">
      <c r="B367" s="13"/>
      <c r="C367" s="13"/>
      <c r="D367" s="14"/>
      <c r="E367" s="14"/>
      <c r="F367" s="14"/>
      <c r="G367" s="14"/>
      <c r="H367" s="14"/>
    </row>
    <row r="368" ht="20" customHeight="1" spans="2:8" x14ac:dyDescent="0.25">
      <c r="B368" s="11"/>
      <c r="C368" s="11"/>
      <c r="D368" s="12"/>
      <c r="E368" s="12"/>
      <c r="F368" s="12"/>
      <c r="G368" s="12"/>
      <c r="H368" s="12"/>
    </row>
    <row r="369" ht="20" customHeight="1" spans="2:8" x14ac:dyDescent="0.25">
      <c r="B369" s="13"/>
      <c r="C369" s="13"/>
      <c r="D369" s="14"/>
      <c r="E369" s="14"/>
      <c r="F369" s="14"/>
      <c r="G369" s="14"/>
      <c r="H369" s="14"/>
    </row>
    <row r="370" ht="20" customHeight="1" spans="2:8" x14ac:dyDescent="0.25">
      <c r="B370" s="11"/>
      <c r="C370" s="11"/>
      <c r="D370" s="12"/>
      <c r="E370" s="12"/>
      <c r="F370" s="12"/>
      <c r="G370" s="12"/>
      <c r="H370" s="12"/>
    </row>
    <row r="371" ht="20" customHeight="1" spans="2:8" x14ac:dyDescent="0.25">
      <c r="B371" s="13"/>
      <c r="C371" s="13"/>
      <c r="D371" s="14"/>
      <c r="E371" s="14"/>
      <c r="F371" s="14"/>
      <c r="G371" s="14"/>
      <c r="H371" s="14"/>
    </row>
    <row r="372" ht="20" customHeight="1" spans="2:8" x14ac:dyDescent="0.25">
      <c r="B372" s="11"/>
      <c r="C372" s="11"/>
      <c r="D372" s="12"/>
      <c r="E372" s="12"/>
      <c r="F372" s="12"/>
      <c r="G372" s="12"/>
      <c r="H372" s="12"/>
    </row>
    <row r="373" ht="20" customHeight="1" spans="2:8" x14ac:dyDescent="0.25">
      <c r="B373" s="13"/>
      <c r="C373" s="13"/>
      <c r="D373" s="14"/>
      <c r="E373" s="14"/>
      <c r="F373" s="14"/>
      <c r="G373" s="14"/>
      <c r="H373" s="14"/>
    </row>
    <row r="374" ht="20" customHeight="1" spans="2:8" x14ac:dyDescent="0.25">
      <c r="B374" s="11"/>
      <c r="C374" s="11"/>
      <c r="D374" s="12"/>
      <c r="E374" s="12"/>
      <c r="F374" s="12"/>
      <c r="G374" s="12"/>
      <c r="H374" s="12"/>
    </row>
    <row r="375" ht="20" customHeight="1" spans="2:8" x14ac:dyDescent="0.25">
      <c r="B375" s="13"/>
      <c r="C375" s="13"/>
      <c r="D375" s="14"/>
      <c r="E375" s="14"/>
      <c r="F375" s="14"/>
      <c r="G375" s="14"/>
      <c r="H375" s="14"/>
    </row>
    <row r="376" ht="20" customHeight="1" spans="2:8" x14ac:dyDescent="0.25">
      <c r="B376" s="11"/>
      <c r="C376" s="11"/>
      <c r="D376" s="12"/>
      <c r="E376" s="12"/>
      <c r="F376" s="12"/>
      <c r="G376" s="12"/>
      <c r="H376" s="12"/>
    </row>
    <row r="377" ht="20" customHeight="1" spans="2:8" x14ac:dyDescent="0.25">
      <c r="B377" s="13"/>
      <c r="C377" s="13"/>
      <c r="D377" s="14"/>
      <c r="E377" s="14"/>
      <c r="F377" s="14"/>
      <c r="G377" s="14"/>
      <c r="H377" s="14"/>
    </row>
    <row r="378" ht="20" customHeight="1" spans="2:8" x14ac:dyDescent="0.25">
      <c r="B378" s="11"/>
      <c r="C378" s="11"/>
      <c r="D378" s="12"/>
      <c r="E378" s="12"/>
      <c r="F378" s="12"/>
      <c r="G378" s="12"/>
      <c r="H378" s="12"/>
    </row>
    <row r="379" ht="20" customHeight="1" spans="2:8" x14ac:dyDescent="0.25">
      <c r="B379" s="13"/>
      <c r="C379" s="13"/>
      <c r="D379" s="14"/>
      <c r="E379" s="14"/>
      <c r="F379" s="14"/>
      <c r="G379" s="14"/>
      <c r="H379" s="14"/>
    </row>
    <row r="380" ht="20" customHeight="1" spans="2:8" x14ac:dyDescent="0.25">
      <c r="B380" s="11"/>
      <c r="C380" s="11"/>
      <c r="D380" s="12"/>
      <c r="E380" s="12"/>
      <c r="F380" s="12"/>
      <c r="G380" s="12"/>
      <c r="H380" s="12"/>
    </row>
    <row r="381" ht="20" customHeight="1" spans="2:8" x14ac:dyDescent="0.25">
      <c r="B381" s="13"/>
      <c r="C381" s="13"/>
      <c r="D381" s="14"/>
      <c r="E381" s="14"/>
      <c r="F381" s="14"/>
      <c r="G381" s="14"/>
      <c r="H381" s="14"/>
    </row>
    <row r="382" ht="20" customHeight="1" spans="2:8" x14ac:dyDescent="0.25">
      <c r="B382" s="11"/>
      <c r="C382" s="11"/>
      <c r="D382" s="12"/>
      <c r="E382" s="12"/>
      <c r="F382" s="12"/>
      <c r="G382" s="12"/>
      <c r="H382" s="12"/>
    </row>
    <row r="383" ht="20" customHeight="1" spans="2:8" x14ac:dyDescent="0.25">
      <c r="B383" s="13"/>
      <c r="C383" s="13"/>
      <c r="D383" s="14"/>
      <c r="E383" s="14"/>
      <c r="F383" s="14"/>
      <c r="G383" s="14"/>
      <c r="H383" s="14"/>
    </row>
    <row r="384" ht="20" customHeight="1" spans="2:8" x14ac:dyDescent="0.25">
      <c r="B384" s="11"/>
      <c r="C384" s="11"/>
      <c r="D384" s="12"/>
      <c r="E384" s="12"/>
      <c r="F384" s="12"/>
      <c r="G384" s="12"/>
      <c r="H384" s="12"/>
    </row>
    <row r="385" ht="20" customHeight="1" spans="2:8" x14ac:dyDescent="0.25">
      <c r="B385" s="13"/>
      <c r="C385" s="13"/>
      <c r="D385" s="14"/>
      <c r="E385" s="14"/>
      <c r="F385" s="14"/>
      <c r="G385" s="14"/>
      <c r="H385" s="14"/>
    </row>
    <row r="386" ht="20" customHeight="1" spans="2:8" x14ac:dyDescent="0.25">
      <c r="B386" s="11"/>
      <c r="C386" s="11"/>
      <c r="D386" s="12"/>
      <c r="E386" s="12"/>
      <c r="F386" s="12"/>
      <c r="G386" s="12"/>
      <c r="H386" s="12"/>
    </row>
    <row r="387" ht="20" customHeight="1" spans="2:8" x14ac:dyDescent="0.25">
      <c r="B387" s="13"/>
      <c r="C387" s="13"/>
      <c r="D387" s="14"/>
      <c r="E387" s="14"/>
      <c r="F387" s="14"/>
      <c r="G387" s="14"/>
      <c r="H387" s="14"/>
    </row>
    <row r="388" ht="20" customHeight="1" spans="2:8" x14ac:dyDescent="0.25">
      <c r="B388" s="11"/>
      <c r="C388" s="11"/>
      <c r="D388" s="12"/>
      <c r="E388" s="12"/>
      <c r="F388" s="12"/>
      <c r="G388" s="12"/>
      <c r="H388" s="12"/>
    </row>
    <row r="389" ht="20" customHeight="1" spans="2:8" x14ac:dyDescent="0.25">
      <c r="B389" s="13"/>
      <c r="C389" s="13"/>
      <c r="D389" s="14"/>
      <c r="E389" s="14"/>
      <c r="F389" s="14"/>
      <c r="G389" s="14"/>
      <c r="H389" s="14"/>
    </row>
    <row r="390" ht="20" customHeight="1" spans="2:8" x14ac:dyDescent="0.25">
      <c r="B390" s="11"/>
      <c r="C390" s="11"/>
      <c r="D390" s="12"/>
      <c r="E390" s="12"/>
      <c r="F390" s="12"/>
      <c r="G390" s="12"/>
      <c r="H390" s="12"/>
    </row>
    <row r="391" ht="20" customHeight="1" spans="2:8" x14ac:dyDescent="0.25">
      <c r="B391" s="13"/>
      <c r="C391" s="13"/>
      <c r="D391" s="14"/>
      <c r="E391" s="14"/>
      <c r="F391" s="14"/>
      <c r="G391" s="14"/>
      <c r="H391" s="14"/>
    </row>
    <row r="392" ht="20" customHeight="1" spans="2:8" x14ac:dyDescent="0.25">
      <c r="B392" s="11"/>
      <c r="C392" s="11"/>
      <c r="D392" s="12"/>
      <c r="E392" s="12"/>
      <c r="F392" s="12"/>
      <c r="G392" s="12"/>
      <c r="H392" s="12"/>
    </row>
    <row r="393" ht="20" customHeight="1" spans="2:8" x14ac:dyDescent="0.25">
      <c r="B393" s="13"/>
      <c r="C393" s="13"/>
      <c r="D393" s="14"/>
      <c r="E393" s="14"/>
      <c r="F393" s="14"/>
      <c r="G393" s="14"/>
      <c r="H393" s="14"/>
    </row>
    <row r="394" ht="20" customHeight="1" spans="2:8" x14ac:dyDescent="0.25">
      <c r="B394" s="11"/>
      <c r="C394" s="11"/>
      <c r="D394" s="12"/>
      <c r="E394" s="12"/>
      <c r="F394" s="12"/>
      <c r="G394" s="12"/>
      <c r="H394" s="12"/>
    </row>
    <row r="395" ht="20" customHeight="1" spans="2:8" x14ac:dyDescent="0.25">
      <c r="B395" s="13"/>
      <c r="C395" s="13"/>
      <c r="D395" s="14"/>
      <c r="E395" s="14"/>
      <c r="F395" s="14"/>
      <c r="G395" s="14"/>
      <c r="H395" s="14"/>
    </row>
    <row r="396" ht="20" customHeight="1" spans="2:8" x14ac:dyDescent="0.25">
      <c r="B396" s="11"/>
      <c r="C396" s="11"/>
      <c r="D396" s="12"/>
      <c r="E396" s="12"/>
      <c r="F396" s="12"/>
      <c r="G396" s="12"/>
      <c r="H396" s="12"/>
    </row>
    <row r="397" ht="20" customHeight="1" spans="2:8" x14ac:dyDescent="0.25">
      <c r="B397" s="13"/>
      <c r="C397" s="13"/>
      <c r="D397" s="14"/>
      <c r="E397" s="14"/>
      <c r="F397" s="14"/>
      <c r="G397" s="14"/>
      <c r="H397" s="14"/>
    </row>
    <row r="398" ht="20" customHeight="1" spans="2:8" x14ac:dyDescent="0.25">
      <c r="B398" s="11"/>
      <c r="C398" s="11"/>
      <c r="D398" s="12"/>
      <c r="E398" s="12"/>
      <c r="F398" s="12"/>
      <c r="G398" s="12"/>
      <c r="H398" s="12"/>
    </row>
    <row r="399" ht="20" customHeight="1" spans="2:8" x14ac:dyDescent="0.25">
      <c r="B399" s="13"/>
      <c r="C399" s="13"/>
      <c r="D399" s="14"/>
      <c r="E399" s="14"/>
      <c r="F399" s="14"/>
      <c r="G399" s="14"/>
      <c r="H399" s="14"/>
    </row>
    <row r="400" ht="20" customHeight="1" spans="2:8" x14ac:dyDescent="0.25">
      <c r="B400" s="11"/>
      <c r="C400" s="11"/>
      <c r="D400" s="12"/>
      <c r="E400" s="12"/>
      <c r="F400" s="12"/>
      <c r="G400" s="12"/>
      <c r="H400" s="12"/>
    </row>
    <row r="401" ht="20" customHeight="1" spans="2:8" x14ac:dyDescent="0.25">
      <c r="B401" s="13"/>
      <c r="C401" s="13"/>
      <c r="D401" s="14"/>
      <c r="E401" s="14"/>
      <c r="F401" s="14"/>
      <c r="G401" s="14"/>
      <c r="H401" s="14"/>
    </row>
    <row r="402" ht="20" customHeight="1" spans="2:8" x14ac:dyDescent="0.25">
      <c r="B402" s="11"/>
      <c r="C402" s="11"/>
      <c r="D402" s="12"/>
      <c r="E402" s="12"/>
      <c r="F402" s="12"/>
      <c r="G402" s="12"/>
      <c r="H402" s="12"/>
    </row>
    <row r="403" ht="20" customHeight="1" spans="2:8" x14ac:dyDescent="0.25">
      <c r="B403" s="13"/>
      <c r="C403" s="13"/>
      <c r="D403" s="14"/>
      <c r="E403" s="14"/>
      <c r="F403" s="14"/>
      <c r="G403" s="14"/>
      <c r="H403" s="14"/>
    </row>
    <row r="404" ht="20" customHeight="1" spans="2:8" x14ac:dyDescent="0.25">
      <c r="B404" s="11"/>
      <c r="C404" s="11"/>
      <c r="D404" s="12"/>
      <c r="E404" s="12"/>
      <c r="F404" s="12"/>
      <c r="G404" s="12"/>
      <c r="H404" s="12"/>
    </row>
    <row r="405" ht="20" customHeight="1" spans="2:8" x14ac:dyDescent="0.25">
      <c r="B405" s="13"/>
      <c r="C405" s="13"/>
      <c r="D405" s="14"/>
      <c r="E405" s="14"/>
      <c r="F405" s="14"/>
      <c r="G405" s="14"/>
      <c r="H405" s="14"/>
    </row>
    <row r="406" ht="20" customHeight="1" spans="2:8" x14ac:dyDescent="0.25">
      <c r="B406" s="11"/>
      <c r="C406" s="11"/>
      <c r="D406" s="12"/>
      <c r="E406" s="12"/>
      <c r="F406" s="12"/>
      <c r="G406" s="12"/>
      <c r="H406" s="12"/>
    </row>
    <row r="407" ht="20" customHeight="1" spans="2:8" x14ac:dyDescent="0.25">
      <c r="B407" s="13"/>
      <c r="C407" s="13"/>
      <c r="D407" s="14"/>
      <c r="E407" s="14"/>
      <c r="F407" s="14"/>
      <c r="G407" s="14"/>
      <c r="H407" s="14"/>
    </row>
    <row r="408" ht="20" customHeight="1" spans="2:8" x14ac:dyDescent="0.25">
      <c r="B408" s="11"/>
      <c r="C408" s="11"/>
      <c r="D408" s="12"/>
      <c r="E408" s="12"/>
      <c r="F408" s="12"/>
      <c r="G408" s="12"/>
      <c r="H408" s="12"/>
    </row>
    <row r="409" ht="20" customHeight="1" spans="2:8" x14ac:dyDescent="0.25">
      <c r="B409" s="13"/>
      <c r="C409" s="13"/>
      <c r="D409" s="14"/>
      <c r="E409" s="14"/>
      <c r="F409" s="14"/>
      <c r="G409" s="14"/>
      <c r="H409" s="14"/>
    </row>
    <row r="410" ht="20" customHeight="1" spans="2:8" x14ac:dyDescent="0.25">
      <c r="B410" s="11"/>
      <c r="C410" s="11"/>
      <c r="D410" s="12"/>
      <c r="E410" s="12"/>
      <c r="F410" s="12"/>
      <c r="G410" s="12"/>
      <c r="H410" s="12"/>
    </row>
    <row r="411" ht="20" customHeight="1" spans="2:8" x14ac:dyDescent="0.25">
      <c r="B411" s="13"/>
      <c r="C411" s="13"/>
      <c r="D411" s="14"/>
      <c r="E411" s="14"/>
      <c r="F411" s="14"/>
      <c r="G411" s="14"/>
      <c r="H411" s="14"/>
    </row>
    <row r="412" ht="20" customHeight="1" spans="2:8" x14ac:dyDescent="0.25">
      <c r="B412" s="11"/>
      <c r="C412" s="11"/>
      <c r="D412" s="12"/>
      <c r="E412" s="12"/>
      <c r="F412" s="12"/>
      <c r="G412" s="12"/>
      <c r="H412" s="12"/>
    </row>
    <row r="413" ht="20" customHeight="1" spans="2:8" x14ac:dyDescent="0.25">
      <c r="B413" s="13"/>
      <c r="C413" s="13"/>
      <c r="D413" s="14"/>
      <c r="E413" s="14"/>
      <c r="F413" s="14"/>
      <c r="G413" s="14"/>
      <c r="H413" s="14"/>
    </row>
    <row r="414" ht="20" customHeight="1" spans="2:8" x14ac:dyDescent="0.25">
      <c r="B414" s="11"/>
      <c r="C414" s="11"/>
      <c r="D414" s="12"/>
      <c r="E414" s="12"/>
      <c r="F414" s="12"/>
      <c r="G414" s="12"/>
      <c r="H414" s="12"/>
    </row>
    <row r="415" ht="20" customHeight="1" spans="2:8" x14ac:dyDescent="0.25">
      <c r="B415" s="13"/>
      <c r="C415" s="13"/>
      <c r="D415" s="14"/>
      <c r="E415" s="14"/>
      <c r="F415" s="14"/>
      <c r="G415" s="14"/>
      <c r="H415" s="14"/>
    </row>
    <row r="416" ht="20" customHeight="1" spans="2:8" x14ac:dyDescent="0.25">
      <c r="B416" s="11"/>
      <c r="C416" s="11"/>
      <c r="D416" s="12"/>
      <c r="E416" s="12"/>
      <c r="F416" s="12"/>
      <c r="G416" s="12"/>
      <c r="H416" s="12"/>
    </row>
    <row r="417" ht="20" customHeight="1" spans="2:8" x14ac:dyDescent="0.25">
      <c r="B417" s="13"/>
      <c r="C417" s="13"/>
      <c r="D417" s="14"/>
      <c r="E417" s="14"/>
      <c r="F417" s="14"/>
      <c r="G417" s="14"/>
      <c r="H417" s="14"/>
    </row>
    <row r="418" ht="20" customHeight="1" spans="2:8" x14ac:dyDescent="0.25">
      <c r="B418" s="11"/>
      <c r="C418" s="11"/>
      <c r="D418" s="12"/>
      <c r="E418" s="12"/>
      <c r="F418" s="12"/>
      <c r="G418" s="12"/>
      <c r="H418" s="12"/>
    </row>
    <row r="419" ht="20" customHeight="1" spans="2:8" x14ac:dyDescent="0.25">
      <c r="B419" s="13"/>
      <c r="C419" s="13"/>
      <c r="D419" s="14"/>
      <c r="E419" s="14"/>
      <c r="F419" s="14"/>
      <c r="G419" s="14"/>
      <c r="H419" s="14"/>
    </row>
    <row r="420" ht="20" customHeight="1" spans="2:8" x14ac:dyDescent="0.25">
      <c r="B420" s="11"/>
      <c r="C420" s="11"/>
      <c r="D420" s="12"/>
      <c r="E420" s="12"/>
      <c r="F420" s="12"/>
      <c r="G420" s="12"/>
      <c r="H420" s="12"/>
    </row>
    <row r="421" ht="20" customHeight="1" spans="2:8" x14ac:dyDescent="0.25">
      <c r="B421" s="13"/>
      <c r="C421" s="13"/>
      <c r="D421" s="14"/>
      <c r="E421" s="14"/>
      <c r="F421" s="14"/>
      <c r="G421" s="14"/>
      <c r="H421" s="14"/>
    </row>
    <row r="422" ht="20" customHeight="1" spans="2:8" x14ac:dyDescent="0.25">
      <c r="B422" s="11"/>
      <c r="C422" s="11"/>
      <c r="D422" s="12"/>
      <c r="E422" s="12"/>
      <c r="F422" s="12"/>
      <c r="G422" s="12"/>
      <c r="H422" s="12"/>
    </row>
    <row r="423" ht="20" customHeight="1" spans="2:8" x14ac:dyDescent="0.25">
      <c r="B423" s="13"/>
      <c r="C423" s="13"/>
      <c r="D423" s="14"/>
      <c r="E423" s="14"/>
      <c r="F423" s="14"/>
      <c r="G423" s="14"/>
      <c r="H423" s="14"/>
    </row>
    <row r="424" ht="20" customHeight="1" spans="2:8" x14ac:dyDescent="0.25">
      <c r="B424" s="11"/>
      <c r="C424" s="11"/>
      <c r="D424" s="12"/>
      <c r="E424" s="12"/>
      <c r="F424" s="12"/>
      <c r="G424" s="12"/>
      <c r="H424" s="12"/>
    </row>
    <row r="425" ht="20" customHeight="1" spans="2:8" x14ac:dyDescent="0.25">
      <c r="B425" s="13"/>
      <c r="C425" s="13"/>
      <c r="D425" s="14"/>
      <c r="E425" s="14"/>
      <c r="F425" s="14"/>
      <c r="G425" s="14"/>
      <c r="H425" s="14"/>
    </row>
    <row r="426" ht="20" customHeight="1" spans="2:8" x14ac:dyDescent="0.25">
      <c r="B426" s="11"/>
      <c r="C426" s="11"/>
      <c r="D426" s="12"/>
      <c r="E426" s="12"/>
      <c r="F426" s="12"/>
      <c r="G426" s="12"/>
      <c r="H426" s="12"/>
    </row>
    <row r="427" ht="20" customHeight="1" spans="2:8" x14ac:dyDescent="0.25">
      <c r="B427" s="13"/>
      <c r="C427" s="13"/>
      <c r="D427" s="14"/>
      <c r="E427" s="14"/>
      <c r="F427" s="14"/>
      <c r="G427" s="14"/>
      <c r="H427" s="14"/>
    </row>
    <row r="428" ht="20" customHeight="1" spans="2:8" x14ac:dyDescent="0.25">
      <c r="B428" s="11"/>
      <c r="C428" s="11"/>
      <c r="D428" s="12"/>
      <c r="E428" s="12"/>
      <c r="F428" s="12"/>
      <c r="G428" s="12"/>
      <c r="H428" s="12"/>
    </row>
    <row r="429" ht="20" customHeight="1" spans="2:8" x14ac:dyDescent="0.25">
      <c r="B429" s="13"/>
      <c r="C429" s="13"/>
      <c r="D429" s="14"/>
      <c r="E429" s="14"/>
      <c r="F429" s="14"/>
      <c r="G429" s="14"/>
      <c r="H429" s="14"/>
    </row>
    <row r="430" ht="20" customHeight="1" spans="2:8" x14ac:dyDescent="0.25">
      <c r="B430" s="11"/>
      <c r="C430" s="11"/>
      <c r="D430" s="12"/>
      <c r="E430" s="12"/>
      <c r="F430" s="12"/>
      <c r="G430" s="12"/>
      <c r="H430" s="12"/>
    </row>
    <row r="431" ht="20" customHeight="1" spans="2:8" x14ac:dyDescent="0.25">
      <c r="B431" s="13"/>
      <c r="C431" s="13"/>
      <c r="D431" s="14"/>
      <c r="E431" s="14"/>
      <c r="F431" s="14"/>
      <c r="G431" s="14"/>
      <c r="H431" s="14"/>
    </row>
    <row r="432" ht="20" customHeight="1" spans="2:8" x14ac:dyDescent="0.25">
      <c r="B432" s="11"/>
      <c r="C432" s="11"/>
      <c r="D432" s="12"/>
      <c r="E432" s="12"/>
      <c r="F432" s="12"/>
      <c r="G432" s="12"/>
      <c r="H432" s="12"/>
    </row>
    <row r="433" ht="20" customHeight="1" spans="2:8" x14ac:dyDescent="0.25">
      <c r="B433" s="13"/>
      <c r="C433" s="13"/>
      <c r="D433" s="14"/>
      <c r="E433" s="14"/>
      <c r="F433" s="14"/>
      <c r="G433" s="14"/>
      <c r="H433" s="14"/>
    </row>
    <row r="434" ht="20" customHeight="1" spans="2:8" x14ac:dyDescent="0.25">
      <c r="B434" s="11"/>
      <c r="C434" s="11"/>
      <c r="D434" s="12"/>
      <c r="E434" s="12"/>
      <c r="F434" s="12"/>
      <c r="G434" s="12"/>
      <c r="H434" s="12"/>
    </row>
    <row r="435" ht="20" customHeight="1" spans="2:8" x14ac:dyDescent="0.25">
      <c r="B435" s="13"/>
      <c r="C435" s="13"/>
      <c r="D435" s="14"/>
      <c r="E435" s="14"/>
      <c r="F435" s="14"/>
      <c r="G435" s="14"/>
      <c r="H435" s="14"/>
    </row>
    <row r="436" ht="20" customHeight="1" spans="2:8" x14ac:dyDescent="0.25">
      <c r="B436" s="11"/>
      <c r="C436" s="11"/>
      <c r="D436" s="12"/>
      <c r="E436" s="12"/>
      <c r="F436" s="12"/>
      <c r="G436" s="12"/>
      <c r="H436" s="12"/>
    </row>
    <row r="437" ht="20" customHeight="1" spans="2:8" x14ac:dyDescent="0.25">
      <c r="B437" s="13"/>
      <c r="C437" s="13"/>
      <c r="D437" s="14"/>
      <c r="E437" s="14"/>
      <c r="F437" s="14"/>
      <c r="G437" s="14"/>
      <c r="H437" s="14"/>
    </row>
    <row r="438" ht="20" customHeight="1" spans="2:8" x14ac:dyDescent="0.25">
      <c r="B438" s="11"/>
      <c r="C438" s="11"/>
      <c r="D438" s="12"/>
      <c r="E438" s="12"/>
      <c r="F438" s="12"/>
      <c r="G438" s="12"/>
      <c r="H438" s="12"/>
    </row>
    <row r="439" ht="20" customHeight="1" spans="2:8" x14ac:dyDescent="0.25">
      <c r="B439" s="13"/>
      <c r="C439" s="13"/>
      <c r="D439" s="14"/>
      <c r="E439" s="14"/>
      <c r="F439" s="14"/>
      <c r="G439" s="14"/>
      <c r="H439" s="14"/>
    </row>
    <row r="440" ht="20" customHeight="1" spans="2:8" x14ac:dyDescent="0.25">
      <c r="B440" s="11"/>
      <c r="C440" s="11"/>
      <c r="D440" s="12"/>
      <c r="E440" s="12"/>
      <c r="F440" s="12"/>
      <c r="G440" s="12"/>
      <c r="H440" s="12"/>
    </row>
    <row r="441" ht="20" customHeight="1" spans="2:8" x14ac:dyDescent="0.25">
      <c r="B441" s="13"/>
      <c r="C441" s="13"/>
      <c r="D441" s="14"/>
      <c r="E441" s="14"/>
      <c r="F441" s="14"/>
      <c r="G441" s="14"/>
      <c r="H441" s="14"/>
    </row>
    <row r="442" ht="20" customHeight="1" spans="2:8" x14ac:dyDescent="0.25">
      <c r="B442" s="11"/>
      <c r="C442" s="11"/>
      <c r="D442" s="12"/>
      <c r="E442" s="12"/>
      <c r="F442" s="12"/>
      <c r="G442" s="12"/>
      <c r="H442" s="12"/>
    </row>
    <row r="443" ht="20" customHeight="1" spans="2:8" x14ac:dyDescent="0.25">
      <c r="B443" s="13"/>
      <c r="C443" s="13"/>
      <c r="D443" s="14"/>
      <c r="E443" s="14"/>
      <c r="F443" s="14"/>
      <c r="G443" s="14"/>
      <c r="H443" s="14"/>
    </row>
    <row r="444" ht="20" customHeight="1" spans="2:8" x14ac:dyDescent="0.25">
      <c r="B444" s="11"/>
      <c r="C444" s="11"/>
      <c r="D444" s="12"/>
      <c r="E444" s="12"/>
      <c r="F444" s="12"/>
      <c r="G444" s="12"/>
      <c r="H444" s="12"/>
    </row>
    <row r="445" ht="20" customHeight="1" spans="2:8" x14ac:dyDescent="0.25">
      <c r="B445" s="13"/>
      <c r="C445" s="13"/>
      <c r="D445" s="14"/>
      <c r="E445" s="14"/>
      <c r="F445" s="14"/>
      <c r="G445" s="14"/>
      <c r="H445" s="14"/>
    </row>
    <row r="446" ht="20" customHeight="1" spans="2:8" x14ac:dyDescent="0.25">
      <c r="B446" s="11"/>
      <c r="C446" s="11"/>
      <c r="D446" s="12"/>
      <c r="E446" s="12"/>
      <c r="F446" s="12"/>
      <c r="G446" s="12"/>
      <c r="H446" s="12"/>
    </row>
    <row r="447" ht="20" customHeight="1" spans="2:8" x14ac:dyDescent="0.25">
      <c r="B447" s="13"/>
      <c r="C447" s="13"/>
      <c r="D447" s="14"/>
      <c r="E447" s="14"/>
      <c r="F447" s="14"/>
      <c r="G447" s="14"/>
      <c r="H447" s="14"/>
    </row>
    <row r="448" ht="20" customHeight="1" spans="2:8" x14ac:dyDescent="0.25">
      <c r="B448" s="11"/>
      <c r="C448" s="11"/>
      <c r="D448" s="12"/>
      <c r="E448" s="12"/>
      <c r="F448" s="12"/>
      <c r="G448" s="12"/>
      <c r="H448" s="12"/>
    </row>
    <row r="449" ht="20" customHeight="1" spans="2:8" x14ac:dyDescent="0.25">
      <c r="B449" s="13"/>
      <c r="C449" s="13"/>
      <c r="D449" s="14"/>
      <c r="E449" s="14"/>
      <c r="F449" s="14"/>
      <c r="G449" s="14"/>
      <c r="H449" s="14"/>
    </row>
    <row r="450" ht="20" customHeight="1" spans="2:8" x14ac:dyDescent="0.25">
      <c r="B450" s="11"/>
      <c r="C450" s="11"/>
      <c r="D450" s="12"/>
      <c r="E450" s="12"/>
      <c r="F450" s="12"/>
      <c r="G450" s="12"/>
      <c r="H450" s="12"/>
    </row>
    <row r="451" ht="20" customHeight="1" spans="2:8" x14ac:dyDescent="0.25">
      <c r="B451" s="13"/>
      <c r="C451" s="13"/>
      <c r="D451" s="14"/>
      <c r="E451" s="14"/>
      <c r="F451" s="14"/>
      <c r="G451" s="14"/>
      <c r="H451" s="14"/>
    </row>
    <row r="452" ht="20" customHeight="1" spans="2:8" x14ac:dyDescent="0.25">
      <c r="B452" s="11"/>
      <c r="C452" s="11"/>
      <c r="D452" s="12"/>
      <c r="E452" s="12"/>
      <c r="F452" s="12"/>
      <c r="G452" s="12"/>
      <c r="H452" s="12"/>
    </row>
    <row r="453" ht="20" customHeight="1" spans="2:8" x14ac:dyDescent="0.25">
      <c r="B453" s="13"/>
      <c r="C453" s="13"/>
      <c r="D453" s="14"/>
      <c r="E453" s="14"/>
      <c r="F453" s="14"/>
      <c r="G453" s="14"/>
      <c r="H453" s="14"/>
    </row>
    <row r="454" ht="20" customHeight="1" spans="2:8" x14ac:dyDescent="0.25">
      <c r="B454" s="11"/>
      <c r="C454" s="11"/>
      <c r="D454" s="12"/>
      <c r="E454" s="12"/>
      <c r="F454" s="12"/>
      <c r="G454" s="12"/>
      <c r="H454" s="12"/>
    </row>
    <row r="455" ht="20" customHeight="1" spans="2:8" x14ac:dyDescent="0.25">
      <c r="B455" s="13"/>
      <c r="C455" s="13"/>
      <c r="D455" s="14"/>
      <c r="E455" s="14"/>
      <c r="F455" s="14"/>
      <c r="G455" s="14"/>
      <c r="H455" s="14"/>
    </row>
    <row r="456" ht="20" customHeight="1" spans="2:8" x14ac:dyDescent="0.25">
      <c r="B456" s="11"/>
      <c r="C456" s="11"/>
      <c r="D456" s="12"/>
      <c r="E456" s="12"/>
      <c r="F456" s="12"/>
      <c r="G456" s="12"/>
      <c r="H456" s="12"/>
    </row>
    <row r="457" ht="20" customHeight="1" spans="2:8" x14ac:dyDescent="0.25">
      <c r="B457" s="13"/>
      <c r="C457" s="13"/>
      <c r="D457" s="14"/>
      <c r="E457" s="14"/>
      <c r="F457" s="14"/>
      <c r="G457" s="14"/>
      <c r="H457" s="14"/>
    </row>
    <row r="458" ht="20" customHeight="1" spans="2:8" x14ac:dyDescent="0.25">
      <c r="B458" s="11"/>
      <c r="C458" s="11"/>
      <c r="D458" s="12"/>
      <c r="E458" s="12"/>
      <c r="F458" s="12"/>
      <c r="G458" s="12"/>
      <c r="H458" s="12"/>
    </row>
    <row r="459" ht="20" customHeight="1" spans="2:8" x14ac:dyDescent="0.25">
      <c r="B459" s="13"/>
      <c r="C459" s="13"/>
      <c r="D459" s="14"/>
      <c r="E459" s="14"/>
      <c r="F459" s="14"/>
      <c r="G459" s="14"/>
      <c r="H459" s="14"/>
    </row>
    <row r="460" ht="20" customHeight="1" spans="2:8" x14ac:dyDescent="0.25">
      <c r="B460" s="11"/>
      <c r="C460" s="11"/>
      <c r="D460" s="12"/>
      <c r="E460" s="12"/>
      <c r="F460" s="12"/>
      <c r="G460" s="12"/>
      <c r="H460" s="12"/>
    </row>
    <row r="461" ht="20" customHeight="1" spans="2:8" x14ac:dyDescent="0.25">
      <c r="B461" s="13"/>
      <c r="C461" s="13"/>
      <c r="D461" s="14"/>
      <c r="E461" s="14"/>
      <c r="F461" s="14"/>
      <c r="G461" s="14"/>
      <c r="H461" s="14"/>
    </row>
    <row r="462" ht="20" customHeight="1" spans="2:8" x14ac:dyDescent="0.25">
      <c r="B462" s="11"/>
      <c r="C462" s="11"/>
      <c r="D462" s="12"/>
      <c r="E462" s="12"/>
      <c r="F462" s="12"/>
      <c r="G462" s="12"/>
      <c r="H462" s="12"/>
    </row>
    <row r="463" ht="20" customHeight="1" spans="2:8" x14ac:dyDescent="0.25">
      <c r="B463" s="13"/>
      <c r="C463" s="13"/>
      <c r="D463" s="14"/>
      <c r="E463" s="14"/>
      <c r="F463" s="14"/>
      <c r="G463" s="14"/>
      <c r="H463" s="14"/>
    </row>
    <row r="464" ht="20" customHeight="1" spans="2:8" x14ac:dyDescent="0.25">
      <c r="B464" s="11"/>
      <c r="C464" s="11"/>
      <c r="D464" s="12"/>
      <c r="E464" s="12"/>
      <c r="F464" s="12"/>
      <c r="G464" s="12"/>
      <c r="H464" s="12"/>
    </row>
    <row r="465" ht="20" customHeight="1" spans="2:8" x14ac:dyDescent="0.25">
      <c r="B465" s="13"/>
      <c r="C465" s="13"/>
      <c r="D465" s="14"/>
      <c r="E465" s="14"/>
      <c r="F465" s="14"/>
      <c r="G465" s="14"/>
      <c r="H465" s="14"/>
    </row>
    <row r="466" ht="20" customHeight="1" spans="2:8" x14ac:dyDescent="0.25">
      <c r="B466" s="11"/>
      <c r="C466" s="11"/>
      <c r="D466" s="12"/>
      <c r="E466" s="12"/>
      <c r="F466" s="12"/>
      <c r="G466" s="12"/>
      <c r="H466" s="12"/>
    </row>
    <row r="467" ht="20" customHeight="1" spans="2:8" x14ac:dyDescent="0.25">
      <c r="B467" s="13"/>
      <c r="C467" s="13"/>
      <c r="D467" s="14"/>
      <c r="E467" s="14"/>
      <c r="F467" s="14"/>
      <c r="G467" s="14"/>
      <c r="H467" s="14"/>
    </row>
    <row r="468" ht="20" customHeight="1" spans="2:8" x14ac:dyDescent="0.25">
      <c r="B468" s="11"/>
      <c r="C468" s="11"/>
      <c r="D468" s="12"/>
      <c r="E468" s="12"/>
      <c r="F468" s="12"/>
      <c r="G468" s="12"/>
      <c r="H468" s="12"/>
    </row>
    <row r="469" ht="20" customHeight="1" spans="2:8" x14ac:dyDescent="0.25">
      <c r="B469" s="13"/>
      <c r="C469" s="13"/>
      <c r="D469" s="14"/>
      <c r="E469" s="14"/>
      <c r="F469" s="14"/>
      <c r="G469" s="14"/>
      <c r="H469" s="14"/>
    </row>
    <row r="470" ht="20" customHeight="1" spans="2:8" x14ac:dyDescent="0.25">
      <c r="B470" s="11"/>
      <c r="C470" s="11"/>
      <c r="D470" s="12"/>
      <c r="E470" s="12"/>
      <c r="F470" s="12"/>
      <c r="G470" s="12"/>
      <c r="H470" s="12"/>
    </row>
    <row r="471" ht="20" customHeight="1" spans="2:8" x14ac:dyDescent="0.25">
      <c r="B471" s="13"/>
      <c r="C471" s="13"/>
      <c r="D471" s="14"/>
      <c r="E471" s="14"/>
      <c r="F471" s="14"/>
      <c r="G471" s="14"/>
      <c r="H471" s="14"/>
    </row>
    <row r="472" ht="20" customHeight="1" spans="2:8" x14ac:dyDescent="0.25">
      <c r="B472" s="11"/>
      <c r="C472" s="11"/>
      <c r="D472" s="12"/>
      <c r="E472" s="12"/>
      <c r="F472" s="12"/>
      <c r="G472" s="12"/>
      <c r="H472" s="12"/>
    </row>
    <row r="473" ht="20" customHeight="1" spans="2:8" x14ac:dyDescent="0.25">
      <c r="B473" s="13"/>
      <c r="C473" s="13"/>
      <c r="D473" s="14"/>
      <c r="E473" s="14"/>
      <c r="F473" s="14"/>
      <c r="G473" s="14"/>
      <c r="H473" s="14"/>
    </row>
    <row r="474" ht="20" customHeight="1" spans="2:8" x14ac:dyDescent="0.25">
      <c r="B474" s="11"/>
      <c r="C474" s="11"/>
      <c r="D474" s="12"/>
      <c r="E474" s="12"/>
      <c r="F474" s="12"/>
      <c r="G474" s="12"/>
      <c r="H474" s="12"/>
    </row>
    <row r="475" ht="20" customHeight="1" spans="2:8" x14ac:dyDescent="0.25">
      <c r="B475" s="13"/>
      <c r="C475" s="13"/>
      <c r="D475" s="14"/>
      <c r="E475" s="14"/>
      <c r="F475" s="14"/>
      <c r="G475" s="14"/>
      <c r="H475" s="14"/>
    </row>
    <row r="476" ht="20" customHeight="1" spans="2:8" x14ac:dyDescent="0.25">
      <c r="B476" s="11"/>
      <c r="C476" s="11"/>
      <c r="D476" s="12"/>
      <c r="E476" s="12"/>
      <c r="F476" s="12"/>
      <c r="G476" s="12"/>
      <c r="H476" s="12"/>
    </row>
    <row r="477" ht="20" customHeight="1" spans="2:8" x14ac:dyDescent="0.25">
      <c r="B477" s="13"/>
      <c r="C477" s="13"/>
      <c r="D477" s="14"/>
      <c r="E477" s="14"/>
      <c r="F477" s="14"/>
      <c r="G477" s="14"/>
      <c r="H477" s="14"/>
    </row>
    <row r="478" ht="20" customHeight="1" spans="2:8" x14ac:dyDescent="0.25">
      <c r="B478" s="11"/>
      <c r="C478" s="11"/>
      <c r="D478" s="12"/>
      <c r="E478" s="12"/>
      <c r="F478" s="12"/>
      <c r="G478" s="12"/>
      <c r="H478" s="12"/>
    </row>
    <row r="479" ht="20" customHeight="1" spans="2:8" x14ac:dyDescent="0.25">
      <c r="B479" s="13"/>
      <c r="C479" s="13"/>
      <c r="D479" s="14"/>
      <c r="E479" s="14"/>
      <c r="F479" s="14"/>
      <c r="G479" s="14"/>
      <c r="H479" s="14"/>
    </row>
    <row r="480" ht="20" customHeight="1" spans="2:8" x14ac:dyDescent="0.25">
      <c r="B480" s="11"/>
      <c r="C480" s="11"/>
      <c r="D480" s="12"/>
      <c r="E480" s="12"/>
      <c r="F480" s="12"/>
      <c r="G480" s="12"/>
      <c r="H480" s="12"/>
    </row>
    <row r="481" ht="20" customHeight="1" spans="2:8" x14ac:dyDescent="0.25">
      <c r="B481" s="13"/>
      <c r="C481" s="13"/>
      <c r="D481" s="14"/>
      <c r="E481" s="14"/>
      <c r="F481" s="14"/>
      <c r="G481" s="14"/>
      <c r="H481" s="14"/>
    </row>
    <row r="482" ht="20" customHeight="1" spans="2:8" x14ac:dyDescent="0.25">
      <c r="B482" s="11"/>
      <c r="C482" s="11"/>
      <c r="D482" s="12"/>
      <c r="E482" s="12"/>
      <c r="F482" s="12"/>
      <c r="G482" s="12"/>
      <c r="H482" s="12"/>
    </row>
    <row r="483" ht="20" customHeight="1" spans="2:8" x14ac:dyDescent="0.25">
      <c r="B483" s="13"/>
      <c r="C483" s="13"/>
      <c r="D483" s="14"/>
      <c r="E483" s="14"/>
      <c r="F483" s="14"/>
      <c r="G483" s="14"/>
      <c r="H483" s="14"/>
    </row>
    <row r="484" ht="20" customHeight="1" spans="2:8" x14ac:dyDescent="0.25">
      <c r="B484" s="11"/>
      <c r="C484" s="11"/>
      <c r="D484" s="12"/>
      <c r="E484" s="12"/>
      <c r="F484" s="12"/>
      <c r="G484" s="12"/>
      <c r="H484" s="12"/>
    </row>
    <row r="485" ht="20" customHeight="1" spans="2:8" x14ac:dyDescent="0.25">
      <c r="B485" s="13"/>
      <c r="C485" s="13"/>
      <c r="D485" s="14"/>
      <c r="E485" s="14"/>
      <c r="F485" s="14"/>
      <c r="G485" s="14"/>
      <c r="H485" s="14"/>
    </row>
    <row r="486" ht="20" customHeight="1" spans="2:8" x14ac:dyDescent="0.25">
      <c r="B486" s="11"/>
      <c r="C486" s="11"/>
      <c r="D486" s="12"/>
      <c r="E486" s="12"/>
      <c r="F486" s="12"/>
      <c r="G486" s="12"/>
      <c r="H486" s="12"/>
    </row>
    <row r="487" ht="20" customHeight="1" spans="2:8" x14ac:dyDescent="0.25">
      <c r="B487" s="13"/>
      <c r="C487" s="13"/>
      <c r="D487" s="14"/>
      <c r="E487" s="14"/>
      <c r="F487" s="14"/>
      <c r="G487" s="14"/>
      <c r="H487" s="14"/>
    </row>
    <row r="488" ht="20" customHeight="1" spans="2:8" x14ac:dyDescent="0.25">
      <c r="B488" s="11"/>
      <c r="C488" s="11"/>
      <c r="D488" s="12"/>
      <c r="E488" s="12"/>
      <c r="F488" s="12"/>
      <c r="G488" s="12"/>
      <c r="H488" s="12"/>
    </row>
    <row r="489" ht="20" customHeight="1" spans="2:8" x14ac:dyDescent="0.25">
      <c r="B489" s="13"/>
      <c r="C489" s="13"/>
      <c r="D489" s="14"/>
      <c r="E489" s="14"/>
      <c r="F489" s="14"/>
      <c r="G489" s="14"/>
      <c r="H489" s="14"/>
    </row>
    <row r="490" ht="20" customHeight="1" spans="2:8" x14ac:dyDescent="0.25">
      <c r="B490" s="11"/>
      <c r="C490" s="11"/>
      <c r="D490" s="12"/>
      <c r="E490" s="12"/>
      <c r="F490" s="12"/>
      <c r="G490" s="12"/>
      <c r="H490" s="12"/>
    </row>
    <row r="491" ht="20" customHeight="1" spans="2:8" x14ac:dyDescent="0.25">
      <c r="B491" s="13"/>
      <c r="C491" s="13"/>
      <c r="D491" s="14"/>
      <c r="E491" s="14"/>
      <c r="F491" s="14"/>
      <c r="G491" s="14"/>
      <c r="H491" s="14"/>
    </row>
    <row r="492" ht="20" customHeight="1" spans="2:8" x14ac:dyDescent="0.25">
      <c r="B492" s="11"/>
      <c r="C492" s="11"/>
      <c r="D492" s="12"/>
      <c r="E492" s="12"/>
      <c r="F492" s="12"/>
      <c r="G492" s="12"/>
      <c r="H492" s="12"/>
    </row>
    <row r="493" ht="20" customHeight="1" spans="2:8" x14ac:dyDescent="0.25">
      <c r="B493" s="13"/>
      <c r="C493" s="13"/>
      <c r="D493" s="14"/>
      <c r="E493" s="14"/>
      <c r="F493" s="14"/>
      <c r="G493" s="14"/>
      <c r="H493" s="14"/>
    </row>
    <row r="494" ht="20" customHeight="1" spans="2:8" x14ac:dyDescent="0.25">
      <c r="B494" s="11"/>
      <c r="C494" s="11"/>
      <c r="D494" s="12"/>
      <c r="E494" s="12"/>
      <c r="F494" s="12"/>
      <c r="G494" s="12"/>
      <c r="H494" s="12"/>
    </row>
    <row r="495" ht="20" customHeight="1" spans="2:8" x14ac:dyDescent="0.25">
      <c r="B495" s="13"/>
      <c r="C495" s="13"/>
      <c r="D495" s="14"/>
      <c r="E495" s="14"/>
      <c r="F495" s="14"/>
      <c r="G495" s="14"/>
      <c r="H495" s="14"/>
    </row>
    <row r="496" ht="20" customHeight="1" spans="2:8" x14ac:dyDescent="0.25">
      <c r="B496" s="11"/>
      <c r="C496" s="11"/>
      <c r="D496" s="12"/>
      <c r="E496" s="12"/>
      <c r="F496" s="12"/>
      <c r="G496" s="12"/>
      <c r="H496" s="12"/>
    </row>
    <row r="497" ht="20" customHeight="1" spans="2:8" x14ac:dyDescent="0.25">
      <c r="B497" s="13"/>
      <c r="C497" s="13"/>
      <c r="D497" s="14"/>
      <c r="E497" s="14"/>
      <c r="F497" s="14"/>
      <c r="G497" s="14"/>
      <c r="H497" s="14"/>
    </row>
    <row r="498" ht="20" customHeight="1" spans="2:8" x14ac:dyDescent="0.25">
      <c r="B498" s="11"/>
      <c r="C498" s="11"/>
      <c r="D498" s="12"/>
      <c r="E498" s="12"/>
      <c r="F498" s="12"/>
      <c r="G498" s="12"/>
      <c r="H498" s="12"/>
    </row>
    <row r="499" ht="20" customHeight="1" spans="2:8" x14ac:dyDescent="0.25">
      <c r="B499" s="13"/>
      <c r="C499" s="13"/>
      <c r="D499" s="14"/>
      <c r="E499" s="14"/>
      <c r="F499" s="14"/>
      <c r="G499" s="14"/>
      <c r="H499" s="14"/>
    </row>
    <row r="500" ht="20" customHeight="1" spans="2:8" x14ac:dyDescent="0.25">
      <c r="B500" s="11"/>
      <c r="C500" s="11"/>
      <c r="D500" s="12"/>
      <c r="E500" s="12"/>
      <c r="F500" s="12"/>
      <c r="G500" s="12"/>
      <c r="H500" s="12"/>
    </row>
    <row r="501" ht="20" customHeight="1" spans="2:8" x14ac:dyDescent="0.25">
      <c r="B501" s="13"/>
      <c r="C501" s="13"/>
      <c r="D501" s="14"/>
      <c r="E501" s="14"/>
      <c r="F501" s="14"/>
      <c r="G501" s="14"/>
      <c r="H501" s="14"/>
    </row>
    <row r="502" ht="20" customHeight="1" spans="2:8" x14ac:dyDescent="0.25">
      <c r="B502" s="11"/>
      <c r="C502" s="11"/>
      <c r="D502" s="12"/>
      <c r="E502" s="12"/>
      <c r="F502" s="12"/>
      <c r="G502" s="12"/>
      <c r="H502" s="12"/>
    </row>
    <row r="503" ht="20" customHeight="1" spans="2:8" x14ac:dyDescent="0.25">
      <c r="B503" s="13"/>
      <c r="C503" s="13"/>
      <c r="D503" s="14"/>
      <c r="E503" s="14"/>
      <c r="F503" s="14"/>
      <c r="G503" s="14"/>
      <c r="H503" s="14"/>
    </row>
    <row r="504" ht="20" customHeight="1" spans="2:8" x14ac:dyDescent="0.25">
      <c r="B504" s="11"/>
      <c r="C504" s="11"/>
      <c r="D504" s="12"/>
      <c r="E504" s="12"/>
      <c r="F504" s="12"/>
      <c r="G504" s="12"/>
      <c r="H504" s="12"/>
    </row>
  </sheetData>
  <autoFilter ref="B4:H4"/>
  <mergeCells count="3">
    <mergeCell ref="B1:G1"/>
    <mergeCell ref="B2:G2"/>
    <mergeCell ref="B3:G3"/>
  </mergeCells>
  <dataValidations count="3">
    <dataValidation type="list" allowBlank="1" sqref="C5:C504">
      <formula1>PropertyList</formula1>
    </dataValidation>
    <dataValidation type="list" allowBlank="1" sqref="D5:D504">
      <formula1>CategoryList</formula1>
    </dataValidation>
    <dataValidation type="list" allowBlank="1" sqref="G5:G50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2:N28"/>
  <sheetFormatPr defaultRowHeight="15" outlineLevelRow="0" outlineLevelCol="0" x14ac:dyDescent="55"/>
  <cols>
    <col min="1" max="1" width="18" customWidth="1"/>
    <col min="2" max="14" width="14" customWidth="1"/>
  </cols>
  <sheetData>
    <row r="2" spans="1:1" x14ac:dyDescent="0.25">
      <c r="A2" s="15" t="s">
        <v>116</v>
      </c>
    </row>
    <row r="5" ht="24" customHeight="1" spans="1:2" x14ac:dyDescent="0.25">
      <c r="A5" s="10" t="s">
        <v>92</v>
      </c>
      <c r="B5" s="10" t="s">
        <v>117</v>
      </c>
    </row>
    <row r="6" spans="1:2" x14ac:dyDescent="0.25">
      <c r="A6" t="s">
        <v>101</v>
      </c>
      <c r="B6" s="31">
        <f>IFERROR(IF(Dashboard!$C$4="All",SUMIFS(Income!$L$5:$L$504,Income!$B$5:$B$504,"&gt;="&amp;Settings!$C$7,Income!$B$5:$B$504,"&lt;="&amp;DATE(Settings!$C$8,12,31),Income!$D$5:$D$504,"Airbnb"),SUMIFS(Income!$L$5:$L$504,Income!$B$5:$B$504,"&gt;="&amp;Settings!$C$7,Income!$B$5:$B$504,"&lt;="&amp;DATE(Settings!$C$8,12,31),Income!$D$5:$D$504,"Airbnb",Income!$C$5:$C$504,Dashboard!$C$4)),0)</f>
      </c>
    </row>
    <row r="7" spans="1:2" x14ac:dyDescent="0.25">
      <c r="A7" t="s">
        <v>102</v>
      </c>
      <c r="B7" s="31">
        <f>IFERROR(IF(Dashboard!$C$4="All",SUMIFS(Income!$L$5:$L$504,Income!$B$5:$B$504,"&gt;="&amp;Settings!$C$7,Income!$B$5:$B$504,"&lt;="&amp;DATE(Settings!$C$8,12,31),Income!$D$5:$D$504,"VRBO"),SUMIFS(Income!$L$5:$L$504,Income!$B$5:$B$504,"&gt;="&amp;Settings!$C$7,Income!$B$5:$B$504,"&lt;="&amp;DATE(Settings!$C$8,12,31),Income!$D$5:$D$504,"VRBO",Income!$C$5:$C$504,Dashboard!$C$4)),0)</f>
      </c>
    </row>
    <row r="8" spans="1:2" x14ac:dyDescent="0.25">
      <c r="A8" t="s">
        <v>104</v>
      </c>
      <c r="B8" s="31">
        <f>IFERROR(IF(Dashboard!$C$4="All",SUMIFS(Income!$L$5:$L$504,Income!$B$5:$B$504,"&gt;="&amp;Settings!$C$7,Income!$B$5:$B$504,"&lt;="&amp;DATE(Settings!$C$8,12,31),Income!$D$5:$D$504,"Booking.com"),SUMIFS(Income!$L$5:$L$504,Income!$B$5:$B$504,"&gt;="&amp;Settings!$C$7,Income!$B$5:$B$504,"&lt;="&amp;DATE(Settings!$C$8,12,31),Income!$D$5:$D$504,"Booking.com",Income!$C$5:$C$504,Dashboard!$C$4)),0)</f>
      </c>
    </row>
    <row r="9" spans="1:2" x14ac:dyDescent="0.25">
      <c r="A9" t="s">
        <v>103</v>
      </c>
      <c r="B9" s="31">
        <f>IFERROR(IF(Dashboard!$C$4="All",SUMIFS(Income!$L$5:$L$504,Income!$B$5:$B$504,"&gt;="&amp;Settings!$C$7,Income!$B$5:$B$504,"&lt;="&amp;DATE(Settings!$C$8,12,31),Income!$D$5:$D$504,"Direct"),SUMIFS(Income!$L$5:$L$504,Income!$B$5:$B$504,"&gt;="&amp;Settings!$C$7,Income!$B$5:$B$504,"&lt;="&amp;DATE(Settings!$C$8,12,31),Income!$D$5:$D$504,"Direct",Income!$C$5:$C$504,Dashboard!$C$4)),0)</f>
      </c>
    </row>
    <row r="10" spans="1:2" x14ac:dyDescent="0.25">
      <c r="A10" t="s">
        <v>87</v>
      </c>
      <c r="B10" s="31">
        <f>IFERROR(IF(Dashboard!$C$4="All",SUMIFS(Income!$L$5:$L$504,Income!$B$5:$B$504,"&gt;="&amp;Settings!$C$7,Income!$B$5:$B$504,"&lt;="&amp;DATE(Settings!$C$8,12,31),Income!$D$5:$D$504,"Other"),SUMIFS(Income!$L$5:$L$504,Income!$B$5:$B$504,"&gt;="&amp;Settings!$C$7,Income!$B$5:$B$504,"&lt;="&amp;DATE(Settings!$C$8,12,31),Income!$D$5:$D$504,"Other",Income!$C$5:$C$504,Dashboard!$C$4)),0)</f>
      </c>
    </row>
    <row r="14" ht="24" customHeight="1" spans="1:14" x14ac:dyDescent="0.25">
      <c r="A14" s="10" t="s">
        <v>92</v>
      </c>
      <c r="B14" s="10" t="s">
        <v>118</v>
      </c>
      <c r="C14" s="10" t="s">
        <v>119</v>
      </c>
      <c r="D14" s="10" t="s">
        <v>120</v>
      </c>
      <c r="E14" s="10" t="s">
        <v>121</v>
      </c>
      <c r="F14" s="10" t="s">
        <v>122</v>
      </c>
      <c r="G14" s="10" t="s">
        <v>123</v>
      </c>
      <c r="H14" s="10" t="s">
        <v>124</v>
      </c>
      <c r="I14" s="10" t="s">
        <v>125</v>
      </c>
      <c r="J14" s="10" t="s">
        <v>126</v>
      </c>
      <c r="K14" s="10" t="s">
        <v>127</v>
      </c>
      <c r="L14" s="10" t="s">
        <v>128</v>
      </c>
      <c r="M14" s="10" t="s">
        <v>129</v>
      </c>
      <c r="N14" s="10" t="s">
        <v>130</v>
      </c>
    </row>
    <row r="15" spans="1:14" x14ac:dyDescent="0.25">
      <c r="A15" t="s">
        <v>101</v>
      </c>
      <c r="B15" s="31">
        <f>IFERROR(IF(Dashboard!$C$4="All",SUMIFS(Income!$L$5:$L$504,Income!$B$5:$B$504,"&gt;="&amp;DATE(Settings!$C$8,1,1),Income!$B$5:$B$504,"&lt;="&amp;EOMONTH(DATE(Settings!$C$8,1,1),0),Income!$D$5:$D$504,"Airbnb"),SUMIFS(Income!$L$5:$L$504,Income!$B$5:$B$504,"&gt;="&amp;DATE(Settings!$C$8,1,1),Income!$B$5:$B$504,"&lt;="&amp;EOMONTH(DATE(Settings!$C$8,1,1),0),Income!$D$5:$D$504,"Airbnb",Income!$C$5:$C$504,Dashboard!$C$4)),0)</f>
      </c>
      <c r="C15" s="31">
        <f>IFERROR(IF(Dashboard!$C$4="All",SUMIFS(Income!$L$5:$L$504,Income!$B$5:$B$504,"&gt;="&amp;DATE(Settings!$C$8,2,1),Income!$B$5:$B$504,"&lt;="&amp;EOMONTH(DATE(Settings!$C$8,2,1),0),Income!$D$5:$D$504,"Airbnb"),SUMIFS(Income!$L$5:$L$504,Income!$B$5:$B$504,"&gt;="&amp;DATE(Settings!$C$8,2,1),Income!$B$5:$B$504,"&lt;="&amp;EOMONTH(DATE(Settings!$C$8,2,1),0),Income!$D$5:$D$504,"Airbnb",Income!$C$5:$C$504,Dashboard!$C$4)),0)</f>
      </c>
      <c r="D15" s="31">
        <f>IFERROR(IF(Dashboard!$C$4="All",SUMIFS(Income!$L$5:$L$504,Income!$B$5:$B$504,"&gt;="&amp;DATE(Settings!$C$8,3,1),Income!$B$5:$B$504,"&lt;="&amp;EOMONTH(DATE(Settings!$C$8,3,1),0),Income!$D$5:$D$504,"Airbnb"),SUMIFS(Income!$L$5:$L$504,Income!$B$5:$B$504,"&gt;="&amp;DATE(Settings!$C$8,3,1),Income!$B$5:$B$504,"&lt;="&amp;EOMONTH(DATE(Settings!$C$8,3,1),0),Income!$D$5:$D$504,"Airbnb",Income!$C$5:$C$504,Dashboard!$C$4)),0)</f>
      </c>
      <c r="E15" s="31">
        <f>IFERROR(IF(Dashboard!$C$4="All",SUMIFS(Income!$L$5:$L$504,Income!$B$5:$B$504,"&gt;="&amp;DATE(Settings!$C$8,4,1),Income!$B$5:$B$504,"&lt;="&amp;EOMONTH(DATE(Settings!$C$8,4,1),0),Income!$D$5:$D$504,"Airbnb"),SUMIFS(Income!$L$5:$L$504,Income!$B$5:$B$504,"&gt;="&amp;DATE(Settings!$C$8,4,1),Income!$B$5:$B$504,"&lt;="&amp;EOMONTH(DATE(Settings!$C$8,4,1),0),Income!$D$5:$D$504,"Airbnb",Income!$C$5:$C$504,Dashboard!$C$4)),0)</f>
      </c>
      <c r="F15" s="31">
        <f>IFERROR(IF(Dashboard!$C$4="All",SUMIFS(Income!$L$5:$L$504,Income!$B$5:$B$504,"&gt;="&amp;DATE(Settings!$C$8,5,1),Income!$B$5:$B$504,"&lt;="&amp;EOMONTH(DATE(Settings!$C$8,5,1),0),Income!$D$5:$D$504,"Airbnb"),SUMIFS(Income!$L$5:$L$504,Income!$B$5:$B$504,"&gt;="&amp;DATE(Settings!$C$8,5,1),Income!$B$5:$B$504,"&lt;="&amp;EOMONTH(DATE(Settings!$C$8,5,1),0),Income!$D$5:$D$504,"Airbnb",Income!$C$5:$C$504,Dashboard!$C$4)),0)</f>
      </c>
      <c r="G15" s="31">
        <f>IFERROR(IF(Dashboard!$C$4="All",SUMIFS(Income!$L$5:$L$504,Income!$B$5:$B$504,"&gt;="&amp;DATE(Settings!$C$8,6,1),Income!$B$5:$B$504,"&lt;="&amp;EOMONTH(DATE(Settings!$C$8,6,1),0),Income!$D$5:$D$504,"Airbnb"),SUMIFS(Income!$L$5:$L$504,Income!$B$5:$B$504,"&gt;="&amp;DATE(Settings!$C$8,6,1),Income!$B$5:$B$504,"&lt;="&amp;EOMONTH(DATE(Settings!$C$8,6,1),0),Income!$D$5:$D$504,"Airbnb",Income!$C$5:$C$504,Dashboard!$C$4)),0)</f>
      </c>
      <c r="H15" s="31">
        <f>IFERROR(IF(Dashboard!$C$4="All",SUMIFS(Income!$L$5:$L$504,Income!$B$5:$B$504,"&gt;="&amp;DATE(Settings!$C$8,7,1),Income!$B$5:$B$504,"&lt;="&amp;EOMONTH(DATE(Settings!$C$8,7,1),0),Income!$D$5:$D$504,"Airbnb"),SUMIFS(Income!$L$5:$L$504,Income!$B$5:$B$504,"&gt;="&amp;DATE(Settings!$C$8,7,1),Income!$B$5:$B$504,"&lt;="&amp;EOMONTH(DATE(Settings!$C$8,7,1),0),Income!$D$5:$D$504,"Airbnb",Income!$C$5:$C$504,Dashboard!$C$4)),0)</f>
      </c>
      <c r="I15" s="31">
        <f>IFERROR(IF(Dashboard!$C$4="All",SUMIFS(Income!$L$5:$L$504,Income!$B$5:$B$504,"&gt;="&amp;DATE(Settings!$C$8,8,1),Income!$B$5:$B$504,"&lt;="&amp;EOMONTH(DATE(Settings!$C$8,8,1),0),Income!$D$5:$D$504,"Airbnb"),SUMIFS(Income!$L$5:$L$504,Income!$B$5:$B$504,"&gt;="&amp;DATE(Settings!$C$8,8,1),Income!$B$5:$B$504,"&lt;="&amp;EOMONTH(DATE(Settings!$C$8,8,1),0),Income!$D$5:$D$504,"Airbnb",Income!$C$5:$C$504,Dashboard!$C$4)),0)</f>
      </c>
      <c r="J15" s="31">
        <f>IFERROR(IF(Dashboard!$C$4="All",SUMIFS(Income!$L$5:$L$504,Income!$B$5:$B$504,"&gt;="&amp;DATE(Settings!$C$8,9,1),Income!$B$5:$B$504,"&lt;="&amp;EOMONTH(DATE(Settings!$C$8,9,1),0),Income!$D$5:$D$504,"Airbnb"),SUMIFS(Income!$L$5:$L$504,Income!$B$5:$B$504,"&gt;="&amp;DATE(Settings!$C$8,9,1),Income!$B$5:$B$504,"&lt;="&amp;EOMONTH(DATE(Settings!$C$8,9,1),0),Income!$D$5:$D$504,"Airbnb",Income!$C$5:$C$504,Dashboard!$C$4)),0)</f>
      </c>
      <c r="K15" s="31">
        <f>IFERROR(IF(Dashboard!$C$4="All",SUMIFS(Income!$L$5:$L$504,Income!$B$5:$B$504,"&gt;="&amp;DATE(Settings!$C$8,10,1),Income!$B$5:$B$504,"&lt;="&amp;EOMONTH(DATE(Settings!$C$8,10,1),0),Income!$D$5:$D$504,"Airbnb"),SUMIFS(Income!$L$5:$L$504,Income!$B$5:$B$504,"&gt;="&amp;DATE(Settings!$C$8,10,1),Income!$B$5:$B$504,"&lt;="&amp;EOMONTH(DATE(Settings!$C$8,10,1),0),Income!$D$5:$D$504,"Airbnb",Income!$C$5:$C$504,Dashboard!$C$4)),0)</f>
      </c>
      <c r="L15" s="31">
        <f>IFERROR(IF(Dashboard!$C$4="All",SUMIFS(Income!$L$5:$L$504,Income!$B$5:$B$504,"&gt;="&amp;DATE(Settings!$C$8,11,1),Income!$B$5:$B$504,"&lt;="&amp;EOMONTH(DATE(Settings!$C$8,11,1),0),Income!$D$5:$D$504,"Airbnb"),SUMIFS(Income!$L$5:$L$504,Income!$B$5:$B$504,"&gt;="&amp;DATE(Settings!$C$8,11,1),Income!$B$5:$B$504,"&lt;="&amp;EOMONTH(DATE(Settings!$C$8,11,1),0),Income!$D$5:$D$504,"Airbnb",Income!$C$5:$C$504,Dashboard!$C$4)),0)</f>
      </c>
      <c r="M15" s="31">
        <f>IFERROR(IF(Dashboard!$C$4="All",SUMIFS(Income!$L$5:$L$504,Income!$B$5:$B$504,"&gt;="&amp;DATE(Settings!$C$8,12,1),Income!$B$5:$B$504,"&lt;="&amp;EOMONTH(DATE(Settings!$C$8,12,1),0),Income!$D$5:$D$504,"Airbnb"),SUMIFS(Income!$L$5:$L$504,Income!$B$5:$B$504,"&gt;="&amp;DATE(Settings!$C$8,12,1),Income!$B$5:$B$504,"&lt;="&amp;EOMONTH(DATE(Settings!$C$8,12,1),0),Income!$D$5:$D$504,"Airbnb",Income!$C$5:$C$504,Dashboard!$C$4)),0)</f>
      </c>
      <c r="N15" s="32">
        <f>SUM(B15:M15)</f>
      </c>
    </row>
    <row r="16" spans="1:14" x14ac:dyDescent="0.25">
      <c r="A16" t="s">
        <v>102</v>
      </c>
      <c r="B16" s="31">
        <f>IFERROR(IF(Dashboard!$C$4="All",SUMIFS(Income!$L$5:$L$504,Income!$B$5:$B$504,"&gt;="&amp;DATE(Settings!$C$8,1,1),Income!$B$5:$B$504,"&lt;="&amp;EOMONTH(DATE(Settings!$C$8,1,1),0),Income!$D$5:$D$504,"VRBO"),SUMIFS(Income!$L$5:$L$504,Income!$B$5:$B$504,"&gt;="&amp;DATE(Settings!$C$8,1,1),Income!$B$5:$B$504,"&lt;="&amp;EOMONTH(DATE(Settings!$C$8,1,1),0),Income!$D$5:$D$504,"VRBO",Income!$C$5:$C$504,Dashboard!$C$4)),0)</f>
      </c>
      <c r="C16" s="31">
        <f>IFERROR(IF(Dashboard!$C$4="All",SUMIFS(Income!$L$5:$L$504,Income!$B$5:$B$504,"&gt;="&amp;DATE(Settings!$C$8,2,1),Income!$B$5:$B$504,"&lt;="&amp;EOMONTH(DATE(Settings!$C$8,2,1),0),Income!$D$5:$D$504,"VRBO"),SUMIFS(Income!$L$5:$L$504,Income!$B$5:$B$504,"&gt;="&amp;DATE(Settings!$C$8,2,1),Income!$B$5:$B$504,"&lt;="&amp;EOMONTH(DATE(Settings!$C$8,2,1),0),Income!$D$5:$D$504,"VRBO",Income!$C$5:$C$504,Dashboard!$C$4)),0)</f>
      </c>
      <c r="D16" s="31">
        <f>IFERROR(IF(Dashboard!$C$4="All",SUMIFS(Income!$L$5:$L$504,Income!$B$5:$B$504,"&gt;="&amp;DATE(Settings!$C$8,3,1),Income!$B$5:$B$504,"&lt;="&amp;EOMONTH(DATE(Settings!$C$8,3,1),0),Income!$D$5:$D$504,"VRBO"),SUMIFS(Income!$L$5:$L$504,Income!$B$5:$B$504,"&gt;="&amp;DATE(Settings!$C$8,3,1),Income!$B$5:$B$504,"&lt;="&amp;EOMONTH(DATE(Settings!$C$8,3,1),0),Income!$D$5:$D$504,"VRBO",Income!$C$5:$C$504,Dashboard!$C$4)),0)</f>
      </c>
      <c r="E16" s="31">
        <f>IFERROR(IF(Dashboard!$C$4="All",SUMIFS(Income!$L$5:$L$504,Income!$B$5:$B$504,"&gt;="&amp;DATE(Settings!$C$8,4,1),Income!$B$5:$B$504,"&lt;="&amp;EOMONTH(DATE(Settings!$C$8,4,1),0),Income!$D$5:$D$504,"VRBO"),SUMIFS(Income!$L$5:$L$504,Income!$B$5:$B$504,"&gt;="&amp;DATE(Settings!$C$8,4,1),Income!$B$5:$B$504,"&lt;="&amp;EOMONTH(DATE(Settings!$C$8,4,1),0),Income!$D$5:$D$504,"VRBO",Income!$C$5:$C$504,Dashboard!$C$4)),0)</f>
      </c>
      <c r="F16" s="31">
        <f>IFERROR(IF(Dashboard!$C$4="All",SUMIFS(Income!$L$5:$L$504,Income!$B$5:$B$504,"&gt;="&amp;DATE(Settings!$C$8,5,1),Income!$B$5:$B$504,"&lt;="&amp;EOMONTH(DATE(Settings!$C$8,5,1),0),Income!$D$5:$D$504,"VRBO"),SUMIFS(Income!$L$5:$L$504,Income!$B$5:$B$504,"&gt;="&amp;DATE(Settings!$C$8,5,1),Income!$B$5:$B$504,"&lt;="&amp;EOMONTH(DATE(Settings!$C$8,5,1),0),Income!$D$5:$D$504,"VRBO",Income!$C$5:$C$504,Dashboard!$C$4)),0)</f>
      </c>
      <c r="G16" s="31">
        <f>IFERROR(IF(Dashboard!$C$4="All",SUMIFS(Income!$L$5:$L$504,Income!$B$5:$B$504,"&gt;="&amp;DATE(Settings!$C$8,6,1),Income!$B$5:$B$504,"&lt;="&amp;EOMONTH(DATE(Settings!$C$8,6,1),0),Income!$D$5:$D$504,"VRBO"),SUMIFS(Income!$L$5:$L$504,Income!$B$5:$B$504,"&gt;="&amp;DATE(Settings!$C$8,6,1),Income!$B$5:$B$504,"&lt;="&amp;EOMONTH(DATE(Settings!$C$8,6,1),0),Income!$D$5:$D$504,"VRBO",Income!$C$5:$C$504,Dashboard!$C$4)),0)</f>
      </c>
      <c r="H16" s="31">
        <f>IFERROR(IF(Dashboard!$C$4="All",SUMIFS(Income!$L$5:$L$504,Income!$B$5:$B$504,"&gt;="&amp;DATE(Settings!$C$8,7,1),Income!$B$5:$B$504,"&lt;="&amp;EOMONTH(DATE(Settings!$C$8,7,1),0),Income!$D$5:$D$504,"VRBO"),SUMIFS(Income!$L$5:$L$504,Income!$B$5:$B$504,"&gt;="&amp;DATE(Settings!$C$8,7,1),Income!$B$5:$B$504,"&lt;="&amp;EOMONTH(DATE(Settings!$C$8,7,1),0),Income!$D$5:$D$504,"VRBO",Income!$C$5:$C$504,Dashboard!$C$4)),0)</f>
      </c>
      <c r="I16" s="31">
        <f>IFERROR(IF(Dashboard!$C$4="All",SUMIFS(Income!$L$5:$L$504,Income!$B$5:$B$504,"&gt;="&amp;DATE(Settings!$C$8,8,1),Income!$B$5:$B$504,"&lt;="&amp;EOMONTH(DATE(Settings!$C$8,8,1),0),Income!$D$5:$D$504,"VRBO"),SUMIFS(Income!$L$5:$L$504,Income!$B$5:$B$504,"&gt;="&amp;DATE(Settings!$C$8,8,1),Income!$B$5:$B$504,"&lt;="&amp;EOMONTH(DATE(Settings!$C$8,8,1),0),Income!$D$5:$D$504,"VRBO",Income!$C$5:$C$504,Dashboard!$C$4)),0)</f>
      </c>
      <c r="J16" s="31">
        <f>IFERROR(IF(Dashboard!$C$4="All",SUMIFS(Income!$L$5:$L$504,Income!$B$5:$B$504,"&gt;="&amp;DATE(Settings!$C$8,9,1),Income!$B$5:$B$504,"&lt;="&amp;EOMONTH(DATE(Settings!$C$8,9,1),0),Income!$D$5:$D$504,"VRBO"),SUMIFS(Income!$L$5:$L$504,Income!$B$5:$B$504,"&gt;="&amp;DATE(Settings!$C$8,9,1),Income!$B$5:$B$504,"&lt;="&amp;EOMONTH(DATE(Settings!$C$8,9,1),0),Income!$D$5:$D$504,"VRBO",Income!$C$5:$C$504,Dashboard!$C$4)),0)</f>
      </c>
      <c r="K16" s="31">
        <f>IFERROR(IF(Dashboard!$C$4="All",SUMIFS(Income!$L$5:$L$504,Income!$B$5:$B$504,"&gt;="&amp;DATE(Settings!$C$8,10,1),Income!$B$5:$B$504,"&lt;="&amp;EOMONTH(DATE(Settings!$C$8,10,1),0),Income!$D$5:$D$504,"VRBO"),SUMIFS(Income!$L$5:$L$504,Income!$B$5:$B$504,"&gt;="&amp;DATE(Settings!$C$8,10,1),Income!$B$5:$B$504,"&lt;="&amp;EOMONTH(DATE(Settings!$C$8,10,1),0),Income!$D$5:$D$504,"VRBO",Income!$C$5:$C$504,Dashboard!$C$4)),0)</f>
      </c>
      <c r="L16" s="31">
        <f>IFERROR(IF(Dashboard!$C$4="All",SUMIFS(Income!$L$5:$L$504,Income!$B$5:$B$504,"&gt;="&amp;DATE(Settings!$C$8,11,1),Income!$B$5:$B$504,"&lt;="&amp;EOMONTH(DATE(Settings!$C$8,11,1),0),Income!$D$5:$D$504,"VRBO"),SUMIFS(Income!$L$5:$L$504,Income!$B$5:$B$504,"&gt;="&amp;DATE(Settings!$C$8,11,1),Income!$B$5:$B$504,"&lt;="&amp;EOMONTH(DATE(Settings!$C$8,11,1),0),Income!$D$5:$D$504,"VRBO",Income!$C$5:$C$504,Dashboard!$C$4)),0)</f>
      </c>
      <c r="M16" s="31">
        <f>IFERROR(IF(Dashboard!$C$4="All",SUMIFS(Income!$L$5:$L$504,Income!$B$5:$B$504,"&gt;="&amp;DATE(Settings!$C$8,12,1),Income!$B$5:$B$504,"&lt;="&amp;EOMONTH(DATE(Settings!$C$8,12,1),0),Income!$D$5:$D$504,"VRBO"),SUMIFS(Income!$L$5:$L$504,Income!$B$5:$B$504,"&gt;="&amp;DATE(Settings!$C$8,12,1),Income!$B$5:$B$504,"&lt;="&amp;EOMONTH(DATE(Settings!$C$8,12,1),0),Income!$D$5:$D$504,"VRBO",Income!$C$5:$C$504,Dashboard!$C$4)),0)</f>
      </c>
      <c r="N16" s="32">
        <f>SUM(B16:M16)</f>
      </c>
    </row>
    <row r="17" spans="1:14" x14ac:dyDescent="0.25">
      <c r="A17" t="s">
        <v>104</v>
      </c>
      <c r="B17" s="31">
        <f>IFERROR(IF(Dashboard!$C$4="All",SUMIFS(Income!$L$5:$L$504,Income!$B$5:$B$504,"&gt;="&amp;DATE(Settings!$C$8,1,1),Income!$B$5:$B$504,"&lt;="&amp;EOMONTH(DATE(Settings!$C$8,1,1),0),Income!$D$5:$D$504,"Booking.com"),SUMIFS(Income!$L$5:$L$504,Income!$B$5:$B$504,"&gt;="&amp;DATE(Settings!$C$8,1,1),Income!$B$5:$B$504,"&lt;="&amp;EOMONTH(DATE(Settings!$C$8,1,1),0),Income!$D$5:$D$504,"Booking.com",Income!$C$5:$C$504,Dashboard!$C$4)),0)</f>
      </c>
      <c r="C17" s="31">
        <f>IFERROR(IF(Dashboard!$C$4="All",SUMIFS(Income!$L$5:$L$504,Income!$B$5:$B$504,"&gt;="&amp;DATE(Settings!$C$8,2,1),Income!$B$5:$B$504,"&lt;="&amp;EOMONTH(DATE(Settings!$C$8,2,1),0),Income!$D$5:$D$504,"Booking.com"),SUMIFS(Income!$L$5:$L$504,Income!$B$5:$B$504,"&gt;="&amp;DATE(Settings!$C$8,2,1),Income!$B$5:$B$504,"&lt;="&amp;EOMONTH(DATE(Settings!$C$8,2,1),0),Income!$D$5:$D$504,"Booking.com",Income!$C$5:$C$504,Dashboard!$C$4)),0)</f>
      </c>
      <c r="D17" s="31">
        <f>IFERROR(IF(Dashboard!$C$4="All",SUMIFS(Income!$L$5:$L$504,Income!$B$5:$B$504,"&gt;="&amp;DATE(Settings!$C$8,3,1),Income!$B$5:$B$504,"&lt;="&amp;EOMONTH(DATE(Settings!$C$8,3,1),0),Income!$D$5:$D$504,"Booking.com"),SUMIFS(Income!$L$5:$L$504,Income!$B$5:$B$504,"&gt;="&amp;DATE(Settings!$C$8,3,1),Income!$B$5:$B$504,"&lt;="&amp;EOMONTH(DATE(Settings!$C$8,3,1),0),Income!$D$5:$D$504,"Booking.com",Income!$C$5:$C$504,Dashboard!$C$4)),0)</f>
      </c>
      <c r="E17" s="31">
        <f>IFERROR(IF(Dashboard!$C$4="All",SUMIFS(Income!$L$5:$L$504,Income!$B$5:$B$504,"&gt;="&amp;DATE(Settings!$C$8,4,1),Income!$B$5:$B$504,"&lt;="&amp;EOMONTH(DATE(Settings!$C$8,4,1),0),Income!$D$5:$D$504,"Booking.com"),SUMIFS(Income!$L$5:$L$504,Income!$B$5:$B$504,"&gt;="&amp;DATE(Settings!$C$8,4,1),Income!$B$5:$B$504,"&lt;="&amp;EOMONTH(DATE(Settings!$C$8,4,1),0),Income!$D$5:$D$504,"Booking.com",Income!$C$5:$C$504,Dashboard!$C$4)),0)</f>
      </c>
      <c r="F17" s="31">
        <f>IFERROR(IF(Dashboard!$C$4="All",SUMIFS(Income!$L$5:$L$504,Income!$B$5:$B$504,"&gt;="&amp;DATE(Settings!$C$8,5,1),Income!$B$5:$B$504,"&lt;="&amp;EOMONTH(DATE(Settings!$C$8,5,1),0),Income!$D$5:$D$504,"Booking.com"),SUMIFS(Income!$L$5:$L$504,Income!$B$5:$B$504,"&gt;="&amp;DATE(Settings!$C$8,5,1),Income!$B$5:$B$504,"&lt;="&amp;EOMONTH(DATE(Settings!$C$8,5,1),0),Income!$D$5:$D$504,"Booking.com",Income!$C$5:$C$504,Dashboard!$C$4)),0)</f>
      </c>
      <c r="G17" s="31">
        <f>IFERROR(IF(Dashboard!$C$4="All",SUMIFS(Income!$L$5:$L$504,Income!$B$5:$B$504,"&gt;="&amp;DATE(Settings!$C$8,6,1),Income!$B$5:$B$504,"&lt;="&amp;EOMONTH(DATE(Settings!$C$8,6,1),0),Income!$D$5:$D$504,"Booking.com"),SUMIFS(Income!$L$5:$L$504,Income!$B$5:$B$504,"&gt;="&amp;DATE(Settings!$C$8,6,1),Income!$B$5:$B$504,"&lt;="&amp;EOMONTH(DATE(Settings!$C$8,6,1),0),Income!$D$5:$D$504,"Booking.com",Income!$C$5:$C$504,Dashboard!$C$4)),0)</f>
      </c>
      <c r="H17" s="31">
        <f>IFERROR(IF(Dashboard!$C$4="All",SUMIFS(Income!$L$5:$L$504,Income!$B$5:$B$504,"&gt;="&amp;DATE(Settings!$C$8,7,1),Income!$B$5:$B$504,"&lt;="&amp;EOMONTH(DATE(Settings!$C$8,7,1),0),Income!$D$5:$D$504,"Booking.com"),SUMIFS(Income!$L$5:$L$504,Income!$B$5:$B$504,"&gt;="&amp;DATE(Settings!$C$8,7,1),Income!$B$5:$B$504,"&lt;="&amp;EOMONTH(DATE(Settings!$C$8,7,1),0),Income!$D$5:$D$504,"Booking.com",Income!$C$5:$C$504,Dashboard!$C$4)),0)</f>
      </c>
      <c r="I17" s="31">
        <f>IFERROR(IF(Dashboard!$C$4="All",SUMIFS(Income!$L$5:$L$504,Income!$B$5:$B$504,"&gt;="&amp;DATE(Settings!$C$8,8,1),Income!$B$5:$B$504,"&lt;="&amp;EOMONTH(DATE(Settings!$C$8,8,1),0),Income!$D$5:$D$504,"Booking.com"),SUMIFS(Income!$L$5:$L$504,Income!$B$5:$B$504,"&gt;="&amp;DATE(Settings!$C$8,8,1),Income!$B$5:$B$504,"&lt;="&amp;EOMONTH(DATE(Settings!$C$8,8,1),0),Income!$D$5:$D$504,"Booking.com",Income!$C$5:$C$504,Dashboard!$C$4)),0)</f>
      </c>
      <c r="J17" s="31">
        <f>IFERROR(IF(Dashboard!$C$4="All",SUMIFS(Income!$L$5:$L$504,Income!$B$5:$B$504,"&gt;="&amp;DATE(Settings!$C$8,9,1),Income!$B$5:$B$504,"&lt;="&amp;EOMONTH(DATE(Settings!$C$8,9,1),0),Income!$D$5:$D$504,"Booking.com"),SUMIFS(Income!$L$5:$L$504,Income!$B$5:$B$504,"&gt;="&amp;DATE(Settings!$C$8,9,1),Income!$B$5:$B$504,"&lt;="&amp;EOMONTH(DATE(Settings!$C$8,9,1),0),Income!$D$5:$D$504,"Booking.com",Income!$C$5:$C$504,Dashboard!$C$4)),0)</f>
      </c>
      <c r="K17" s="31">
        <f>IFERROR(IF(Dashboard!$C$4="All",SUMIFS(Income!$L$5:$L$504,Income!$B$5:$B$504,"&gt;="&amp;DATE(Settings!$C$8,10,1),Income!$B$5:$B$504,"&lt;="&amp;EOMONTH(DATE(Settings!$C$8,10,1),0),Income!$D$5:$D$504,"Booking.com"),SUMIFS(Income!$L$5:$L$504,Income!$B$5:$B$504,"&gt;="&amp;DATE(Settings!$C$8,10,1),Income!$B$5:$B$504,"&lt;="&amp;EOMONTH(DATE(Settings!$C$8,10,1),0),Income!$D$5:$D$504,"Booking.com",Income!$C$5:$C$504,Dashboard!$C$4)),0)</f>
      </c>
      <c r="L17" s="31">
        <f>IFERROR(IF(Dashboard!$C$4="All",SUMIFS(Income!$L$5:$L$504,Income!$B$5:$B$504,"&gt;="&amp;DATE(Settings!$C$8,11,1),Income!$B$5:$B$504,"&lt;="&amp;EOMONTH(DATE(Settings!$C$8,11,1),0),Income!$D$5:$D$504,"Booking.com"),SUMIFS(Income!$L$5:$L$504,Income!$B$5:$B$504,"&gt;="&amp;DATE(Settings!$C$8,11,1),Income!$B$5:$B$504,"&lt;="&amp;EOMONTH(DATE(Settings!$C$8,11,1),0),Income!$D$5:$D$504,"Booking.com",Income!$C$5:$C$504,Dashboard!$C$4)),0)</f>
      </c>
      <c r="M17" s="31">
        <f>IFERROR(IF(Dashboard!$C$4="All",SUMIFS(Income!$L$5:$L$504,Income!$B$5:$B$504,"&gt;="&amp;DATE(Settings!$C$8,12,1),Income!$B$5:$B$504,"&lt;="&amp;EOMONTH(DATE(Settings!$C$8,12,1),0),Income!$D$5:$D$504,"Booking.com"),SUMIFS(Income!$L$5:$L$504,Income!$B$5:$B$504,"&gt;="&amp;DATE(Settings!$C$8,12,1),Income!$B$5:$B$504,"&lt;="&amp;EOMONTH(DATE(Settings!$C$8,12,1),0),Income!$D$5:$D$504,"Booking.com",Income!$C$5:$C$504,Dashboard!$C$4)),0)</f>
      </c>
      <c r="N17" s="32">
        <f>SUM(B17:M17)</f>
      </c>
    </row>
    <row r="18" spans="1:14" x14ac:dyDescent="0.25">
      <c r="A18" t="s">
        <v>103</v>
      </c>
      <c r="B18" s="31">
        <f>IFERROR(IF(Dashboard!$C$4="All",SUMIFS(Income!$L$5:$L$504,Income!$B$5:$B$504,"&gt;="&amp;DATE(Settings!$C$8,1,1),Income!$B$5:$B$504,"&lt;="&amp;EOMONTH(DATE(Settings!$C$8,1,1),0),Income!$D$5:$D$504,"Direct"),SUMIFS(Income!$L$5:$L$504,Income!$B$5:$B$504,"&gt;="&amp;DATE(Settings!$C$8,1,1),Income!$B$5:$B$504,"&lt;="&amp;EOMONTH(DATE(Settings!$C$8,1,1),0),Income!$D$5:$D$504,"Direct",Income!$C$5:$C$504,Dashboard!$C$4)),0)</f>
      </c>
      <c r="C18" s="31">
        <f>IFERROR(IF(Dashboard!$C$4="All",SUMIFS(Income!$L$5:$L$504,Income!$B$5:$B$504,"&gt;="&amp;DATE(Settings!$C$8,2,1),Income!$B$5:$B$504,"&lt;="&amp;EOMONTH(DATE(Settings!$C$8,2,1),0),Income!$D$5:$D$504,"Direct"),SUMIFS(Income!$L$5:$L$504,Income!$B$5:$B$504,"&gt;="&amp;DATE(Settings!$C$8,2,1),Income!$B$5:$B$504,"&lt;="&amp;EOMONTH(DATE(Settings!$C$8,2,1),0),Income!$D$5:$D$504,"Direct",Income!$C$5:$C$504,Dashboard!$C$4)),0)</f>
      </c>
      <c r="D18" s="31">
        <f>IFERROR(IF(Dashboard!$C$4="All",SUMIFS(Income!$L$5:$L$504,Income!$B$5:$B$504,"&gt;="&amp;DATE(Settings!$C$8,3,1),Income!$B$5:$B$504,"&lt;="&amp;EOMONTH(DATE(Settings!$C$8,3,1),0),Income!$D$5:$D$504,"Direct"),SUMIFS(Income!$L$5:$L$504,Income!$B$5:$B$504,"&gt;="&amp;DATE(Settings!$C$8,3,1),Income!$B$5:$B$504,"&lt;="&amp;EOMONTH(DATE(Settings!$C$8,3,1),0),Income!$D$5:$D$504,"Direct",Income!$C$5:$C$504,Dashboard!$C$4)),0)</f>
      </c>
      <c r="E18" s="31">
        <f>IFERROR(IF(Dashboard!$C$4="All",SUMIFS(Income!$L$5:$L$504,Income!$B$5:$B$504,"&gt;="&amp;DATE(Settings!$C$8,4,1),Income!$B$5:$B$504,"&lt;="&amp;EOMONTH(DATE(Settings!$C$8,4,1),0),Income!$D$5:$D$504,"Direct"),SUMIFS(Income!$L$5:$L$504,Income!$B$5:$B$504,"&gt;="&amp;DATE(Settings!$C$8,4,1),Income!$B$5:$B$504,"&lt;="&amp;EOMONTH(DATE(Settings!$C$8,4,1),0),Income!$D$5:$D$504,"Direct",Income!$C$5:$C$504,Dashboard!$C$4)),0)</f>
      </c>
      <c r="F18" s="31">
        <f>IFERROR(IF(Dashboard!$C$4="All",SUMIFS(Income!$L$5:$L$504,Income!$B$5:$B$504,"&gt;="&amp;DATE(Settings!$C$8,5,1),Income!$B$5:$B$504,"&lt;="&amp;EOMONTH(DATE(Settings!$C$8,5,1),0),Income!$D$5:$D$504,"Direct"),SUMIFS(Income!$L$5:$L$504,Income!$B$5:$B$504,"&gt;="&amp;DATE(Settings!$C$8,5,1),Income!$B$5:$B$504,"&lt;="&amp;EOMONTH(DATE(Settings!$C$8,5,1),0),Income!$D$5:$D$504,"Direct",Income!$C$5:$C$504,Dashboard!$C$4)),0)</f>
      </c>
      <c r="G18" s="31">
        <f>IFERROR(IF(Dashboard!$C$4="All",SUMIFS(Income!$L$5:$L$504,Income!$B$5:$B$504,"&gt;="&amp;DATE(Settings!$C$8,6,1),Income!$B$5:$B$504,"&lt;="&amp;EOMONTH(DATE(Settings!$C$8,6,1),0),Income!$D$5:$D$504,"Direct"),SUMIFS(Income!$L$5:$L$504,Income!$B$5:$B$504,"&gt;="&amp;DATE(Settings!$C$8,6,1),Income!$B$5:$B$504,"&lt;="&amp;EOMONTH(DATE(Settings!$C$8,6,1),0),Income!$D$5:$D$504,"Direct",Income!$C$5:$C$504,Dashboard!$C$4)),0)</f>
      </c>
      <c r="H18" s="31">
        <f>IFERROR(IF(Dashboard!$C$4="All",SUMIFS(Income!$L$5:$L$504,Income!$B$5:$B$504,"&gt;="&amp;DATE(Settings!$C$8,7,1),Income!$B$5:$B$504,"&lt;="&amp;EOMONTH(DATE(Settings!$C$8,7,1),0),Income!$D$5:$D$504,"Direct"),SUMIFS(Income!$L$5:$L$504,Income!$B$5:$B$504,"&gt;="&amp;DATE(Settings!$C$8,7,1),Income!$B$5:$B$504,"&lt;="&amp;EOMONTH(DATE(Settings!$C$8,7,1),0),Income!$D$5:$D$504,"Direct",Income!$C$5:$C$504,Dashboard!$C$4)),0)</f>
      </c>
      <c r="I18" s="31">
        <f>IFERROR(IF(Dashboard!$C$4="All",SUMIFS(Income!$L$5:$L$504,Income!$B$5:$B$504,"&gt;="&amp;DATE(Settings!$C$8,8,1),Income!$B$5:$B$504,"&lt;="&amp;EOMONTH(DATE(Settings!$C$8,8,1),0),Income!$D$5:$D$504,"Direct"),SUMIFS(Income!$L$5:$L$504,Income!$B$5:$B$504,"&gt;="&amp;DATE(Settings!$C$8,8,1),Income!$B$5:$B$504,"&lt;="&amp;EOMONTH(DATE(Settings!$C$8,8,1),0),Income!$D$5:$D$504,"Direct",Income!$C$5:$C$504,Dashboard!$C$4)),0)</f>
      </c>
      <c r="J18" s="31">
        <f>IFERROR(IF(Dashboard!$C$4="All",SUMIFS(Income!$L$5:$L$504,Income!$B$5:$B$504,"&gt;="&amp;DATE(Settings!$C$8,9,1),Income!$B$5:$B$504,"&lt;="&amp;EOMONTH(DATE(Settings!$C$8,9,1),0),Income!$D$5:$D$504,"Direct"),SUMIFS(Income!$L$5:$L$504,Income!$B$5:$B$504,"&gt;="&amp;DATE(Settings!$C$8,9,1),Income!$B$5:$B$504,"&lt;="&amp;EOMONTH(DATE(Settings!$C$8,9,1),0),Income!$D$5:$D$504,"Direct",Income!$C$5:$C$504,Dashboard!$C$4)),0)</f>
      </c>
      <c r="K18" s="31">
        <f>IFERROR(IF(Dashboard!$C$4="All",SUMIFS(Income!$L$5:$L$504,Income!$B$5:$B$504,"&gt;="&amp;DATE(Settings!$C$8,10,1),Income!$B$5:$B$504,"&lt;="&amp;EOMONTH(DATE(Settings!$C$8,10,1),0),Income!$D$5:$D$504,"Direct"),SUMIFS(Income!$L$5:$L$504,Income!$B$5:$B$504,"&gt;="&amp;DATE(Settings!$C$8,10,1),Income!$B$5:$B$504,"&lt;="&amp;EOMONTH(DATE(Settings!$C$8,10,1),0),Income!$D$5:$D$504,"Direct",Income!$C$5:$C$504,Dashboard!$C$4)),0)</f>
      </c>
      <c r="L18" s="31">
        <f>IFERROR(IF(Dashboard!$C$4="All",SUMIFS(Income!$L$5:$L$504,Income!$B$5:$B$504,"&gt;="&amp;DATE(Settings!$C$8,11,1),Income!$B$5:$B$504,"&lt;="&amp;EOMONTH(DATE(Settings!$C$8,11,1),0),Income!$D$5:$D$504,"Direct"),SUMIFS(Income!$L$5:$L$504,Income!$B$5:$B$504,"&gt;="&amp;DATE(Settings!$C$8,11,1),Income!$B$5:$B$504,"&lt;="&amp;EOMONTH(DATE(Settings!$C$8,11,1),0),Income!$D$5:$D$504,"Direct",Income!$C$5:$C$504,Dashboard!$C$4)),0)</f>
      </c>
      <c r="M18" s="31">
        <f>IFERROR(IF(Dashboard!$C$4="All",SUMIFS(Income!$L$5:$L$504,Income!$B$5:$B$504,"&gt;="&amp;DATE(Settings!$C$8,12,1),Income!$B$5:$B$504,"&lt;="&amp;EOMONTH(DATE(Settings!$C$8,12,1),0),Income!$D$5:$D$504,"Direct"),SUMIFS(Income!$L$5:$L$504,Income!$B$5:$B$504,"&gt;="&amp;DATE(Settings!$C$8,12,1),Income!$B$5:$B$504,"&lt;="&amp;EOMONTH(DATE(Settings!$C$8,12,1),0),Income!$D$5:$D$504,"Direct",Income!$C$5:$C$504,Dashboard!$C$4)),0)</f>
      </c>
      <c r="N18" s="32">
        <f>SUM(B18:M18)</f>
      </c>
    </row>
    <row r="19" spans="1:14" x14ac:dyDescent="0.25">
      <c r="A19" t="s">
        <v>87</v>
      </c>
      <c r="B19" s="31">
        <f>IFERROR(IF(Dashboard!$C$4="All",SUMIFS(Income!$L$5:$L$504,Income!$B$5:$B$504,"&gt;="&amp;DATE(Settings!$C$8,1,1),Income!$B$5:$B$504,"&lt;="&amp;EOMONTH(DATE(Settings!$C$8,1,1),0),Income!$D$5:$D$504,"Other"),SUMIFS(Income!$L$5:$L$504,Income!$B$5:$B$504,"&gt;="&amp;DATE(Settings!$C$8,1,1),Income!$B$5:$B$504,"&lt;="&amp;EOMONTH(DATE(Settings!$C$8,1,1),0),Income!$D$5:$D$504,"Other",Income!$C$5:$C$504,Dashboard!$C$4)),0)</f>
      </c>
      <c r="C19" s="31">
        <f>IFERROR(IF(Dashboard!$C$4="All",SUMIFS(Income!$L$5:$L$504,Income!$B$5:$B$504,"&gt;="&amp;DATE(Settings!$C$8,2,1),Income!$B$5:$B$504,"&lt;="&amp;EOMONTH(DATE(Settings!$C$8,2,1),0),Income!$D$5:$D$504,"Other"),SUMIFS(Income!$L$5:$L$504,Income!$B$5:$B$504,"&gt;="&amp;DATE(Settings!$C$8,2,1),Income!$B$5:$B$504,"&lt;="&amp;EOMONTH(DATE(Settings!$C$8,2,1),0),Income!$D$5:$D$504,"Other",Income!$C$5:$C$504,Dashboard!$C$4)),0)</f>
      </c>
      <c r="D19" s="31">
        <f>IFERROR(IF(Dashboard!$C$4="All",SUMIFS(Income!$L$5:$L$504,Income!$B$5:$B$504,"&gt;="&amp;DATE(Settings!$C$8,3,1),Income!$B$5:$B$504,"&lt;="&amp;EOMONTH(DATE(Settings!$C$8,3,1),0),Income!$D$5:$D$504,"Other"),SUMIFS(Income!$L$5:$L$504,Income!$B$5:$B$504,"&gt;="&amp;DATE(Settings!$C$8,3,1),Income!$B$5:$B$504,"&lt;="&amp;EOMONTH(DATE(Settings!$C$8,3,1),0),Income!$D$5:$D$504,"Other",Income!$C$5:$C$504,Dashboard!$C$4)),0)</f>
      </c>
      <c r="E19" s="31">
        <f>IFERROR(IF(Dashboard!$C$4="All",SUMIFS(Income!$L$5:$L$504,Income!$B$5:$B$504,"&gt;="&amp;DATE(Settings!$C$8,4,1),Income!$B$5:$B$504,"&lt;="&amp;EOMONTH(DATE(Settings!$C$8,4,1),0),Income!$D$5:$D$504,"Other"),SUMIFS(Income!$L$5:$L$504,Income!$B$5:$B$504,"&gt;="&amp;DATE(Settings!$C$8,4,1),Income!$B$5:$B$504,"&lt;="&amp;EOMONTH(DATE(Settings!$C$8,4,1),0),Income!$D$5:$D$504,"Other",Income!$C$5:$C$504,Dashboard!$C$4)),0)</f>
      </c>
      <c r="F19" s="31">
        <f>IFERROR(IF(Dashboard!$C$4="All",SUMIFS(Income!$L$5:$L$504,Income!$B$5:$B$504,"&gt;="&amp;DATE(Settings!$C$8,5,1),Income!$B$5:$B$504,"&lt;="&amp;EOMONTH(DATE(Settings!$C$8,5,1),0),Income!$D$5:$D$504,"Other"),SUMIFS(Income!$L$5:$L$504,Income!$B$5:$B$504,"&gt;="&amp;DATE(Settings!$C$8,5,1),Income!$B$5:$B$504,"&lt;="&amp;EOMONTH(DATE(Settings!$C$8,5,1),0),Income!$D$5:$D$504,"Other",Income!$C$5:$C$504,Dashboard!$C$4)),0)</f>
      </c>
      <c r="G19" s="31">
        <f>IFERROR(IF(Dashboard!$C$4="All",SUMIFS(Income!$L$5:$L$504,Income!$B$5:$B$504,"&gt;="&amp;DATE(Settings!$C$8,6,1),Income!$B$5:$B$504,"&lt;="&amp;EOMONTH(DATE(Settings!$C$8,6,1),0),Income!$D$5:$D$504,"Other"),SUMIFS(Income!$L$5:$L$504,Income!$B$5:$B$504,"&gt;="&amp;DATE(Settings!$C$8,6,1),Income!$B$5:$B$504,"&lt;="&amp;EOMONTH(DATE(Settings!$C$8,6,1),0),Income!$D$5:$D$504,"Other",Income!$C$5:$C$504,Dashboard!$C$4)),0)</f>
      </c>
      <c r="H19" s="31">
        <f>IFERROR(IF(Dashboard!$C$4="All",SUMIFS(Income!$L$5:$L$504,Income!$B$5:$B$504,"&gt;="&amp;DATE(Settings!$C$8,7,1),Income!$B$5:$B$504,"&lt;="&amp;EOMONTH(DATE(Settings!$C$8,7,1),0),Income!$D$5:$D$504,"Other"),SUMIFS(Income!$L$5:$L$504,Income!$B$5:$B$504,"&gt;="&amp;DATE(Settings!$C$8,7,1),Income!$B$5:$B$504,"&lt;="&amp;EOMONTH(DATE(Settings!$C$8,7,1),0),Income!$D$5:$D$504,"Other",Income!$C$5:$C$504,Dashboard!$C$4)),0)</f>
      </c>
      <c r="I19" s="31">
        <f>IFERROR(IF(Dashboard!$C$4="All",SUMIFS(Income!$L$5:$L$504,Income!$B$5:$B$504,"&gt;="&amp;DATE(Settings!$C$8,8,1),Income!$B$5:$B$504,"&lt;="&amp;EOMONTH(DATE(Settings!$C$8,8,1),0),Income!$D$5:$D$504,"Other"),SUMIFS(Income!$L$5:$L$504,Income!$B$5:$B$504,"&gt;="&amp;DATE(Settings!$C$8,8,1),Income!$B$5:$B$504,"&lt;="&amp;EOMONTH(DATE(Settings!$C$8,8,1),0),Income!$D$5:$D$504,"Other",Income!$C$5:$C$504,Dashboard!$C$4)),0)</f>
      </c>
      <c r="J19" s="31">
        <f>IFERROR(IF(Dashboard!$C$4="All",SUMIFS(Income!$L$5:$L$504,Income!$B$5:$B$504,"&gt;="&amp;DATE(Settings!$C$8,9,1),Income!$B$5:$B$504,"&lt;="&amp;EOMONTH(DATE(Settings!$C$8,9,1),0),Income!$D$5:$D$504,"Other"),SUMIFS(Income!$L$5:$L$504,Income!$B$5:$B$504,"&gt;="&amp;DATE(Settings!$C$8,9,1),Income!$B$5:$B$504,"&lt;="&amp;EOMONTH(DATE(Settings!$C$8,9,1),0),Income!$D$5:$D$504,"Other",Income!$C$5:$C$504,Dashboard!$C$4)),0)</f>
      </c>
      <c r="K19" s="31">
        <f>IFERROR(IF(Dashboard!$C$4="All",SUMIFS(Income!$L$5:$L$504,Income!$B$5:$B$504,"&gt;="&amp;DATE(Settings!$C$8,10,1),Income!$B$5:$B$504,"&lt;="&amp;EOMONTH(DATE(Settings!$C$8,10,1),0),Income!$D$5:$D$504,"Other"),SUMIFS(Income!$L$5:$L$504,Income!$B$5:$B$504,"&gt;="&amp;DATE(Settings!$C$8,10,1),Income!$B$5:$B$504,"&lt;="&amp;EOMONTH(DATE(Settings!$C$8,10,1),0),Income!$D$5:$D$504,"Other",Income!$C$5:$C$504,Dashboard!$C$4)),0)</f>
      </c>
      <c r="L19" s="31">
        <f>IFERROR(IF(Dashboard!$C$4="All",SUMIFS(Income!$L$5:$L$504,Income!$B$5:$B$504,"&gt;="&amp;DATE(Settings!$C$8,11,1),Income!$B$5:$B$504,"&lt;="&amp;EOMONTH(DATE(Settings!$C$8,11,1),0),Income!$D$5:$D$504,"Other"),SUMIFS(Income!$L$5:$L$504,Income!$B$5:$B$504,"&gt;="&amp;DATE(Settings!$C$8,11,1),Income!$B$5:$B$504,"&lt;="&amp;EOMONTH(DATE(Settings!$C$8,11,1),0),Income!$D$5:$D$504,"Other",Income!$C$5:$C$504,Dashboard!$C$4)),0)</f>
      </c>
      <c r="M19" s="31">
        <f>IFERROR(IF(Dashboard!$C$4="All",SUMIFS(Income!$L$5:$L$504,Income!$B$5:$B$504,"&gt;="&amp;DATE(Settings!$C$8,12,1),Income!$B$5:$B$504,"&lt;="&amp;EOMONTH(DATE(Settings!$C$8,12,1),0),Income!$D$5:$D$504,"Other"),SUMIFS(Income!$L$5:$L$504,Income!$B$5:$B$504,"&gt;="&amp;DATE(Settings!$C$8,12,1),Income!$B$5:$B$504,"&lt;="&amp;EOMONTH(DATE(Settings!$C$8,12,1),0),Income!$D$5:$D$504,"Other",Income!$C$5:$C$504,Dashboard!$C$4)),0)</f>
      </c>
      <c r="N19" s="32">
        <f>SUM(B19:M19)</f>
      </c>
    </row>
    <row r="22" ht="24" customHeight="1" spans="1:2" x14ac:dyDescent="0.25">
      <c r="A22" s="10" t="s">
        <v>67</v>
      </c>
      <c r="B22" s="10" t="s">
        <v>131</v>
      </c>
    </row>
    <row r="23" spans="1:2" x14ac:dyDescent="0.25">
      <c r="A23" t="s">
        <v>70</v>
      </c>
      <c r="B23" s="31">
        <f>IFERROR(IF(Dashboard!$C$4="All",SUMIFS(Expenses!$F$5:$F$504,Expenses!$D$5:$D$504,"Cleaning",Expenses!$B$5:$B$504,"&gt;="&amp;Settings!$C$7),SUMIFS(Expenses!$F$5:$F$504,Expenses!$D$5:$D$504,"Cleaning",Expenses!$B$5:$B$504,"&gt;="&amp;Settings!$C$7,Expenses!$C$5:$C$504,Dashboard!$C$4)),0)</f>
      </c>
    </row>
    <row r="24" spans="1:2" x14ac:dyDescent="0.25">
      <c r="A24" t="s">
        <v>72</v>
      </c>
      <c r="B24" s="31">
        <f>IFERROR(IF(Dashboard!$C$4="All",SUMIFS(Expenses!$F$5:$F$504,Expenses!$D$5:$D$504,"Maintenance",Expenses!$B$5:$B$504,"&gt;="&amp;Settings!$C$7),SUMIFS(Expenses!$F$5:$F$504,Expenses!$D$5:$D$504,"Maintenance",Expenses!$B$5:$B$504,"&gt;="&amp;Settings!$C$7,Expenses!$C$5:$C$504,Dashboard!$C$4)),0)</f>
      </c>
    </row>
    <row r="25" spans="1:2" x14ac:dyDescent="0.25">
      <c r="A25" t="s">
        <v>73</v>
      </c>
      <c r="B25" s="31">
        <f>IFERROR(IF(Dashboard!$C$4="All",SUMIFS(Expenses!$F$5:$F$504,Expenses!$D$5:$D$504,"Utilities",Expenses!$B$5:$B$504,"&gt;="&amp;Settings!$C$7),SUMIFS(Expenses!$F$5:$F$504,Expenses!$D$5:$D$504,"Utilities",Expenses!$B$5:$B$504,"&gt;="&amp;Settings!$C$7,Expenses!$C$5:$C$504,Dashboard!$C$4)),0)</f>
      </c>
    </row>
    <row r="26" spans="1:2" x14ac:dyDescent="0.25">
      <c r="A26" t="s">
        <v>75</v>
      </c>
      <c r="B26" s="31">
        <f>IFERROR(IF(Dashboard!$C$4="All",SUMIFS(Expenses!$F$5:$F$504,Expenses!$D$5:$D$504,"Insurance",Expenses!$B$5:$B$504,"&gt;="&amp;Settings!$C$7),SUMIFS(Expenses!$F$5:$F$504,Expenses!$D$5:$D$504,"Insurance",Expenses!$B$5:$B$504,"&gt;="&amp;Settings!$C$7,Expenses!$C$5:$C$504,Dashboard!$C$4)),0)</f>
      </c>
    </row>
    <row r="27" spans="1:2" x14ac:dyDescent="0.25">
      <c r="A27" t="s">
        <v>76</v>
      </c>
      <c r="B27" s="31">
        <f>IFERROR(IF(Dashboard!$C$4="All",SUMIFS(Expenses!$F$5:$F$504,Expenses!$D$5:$D$504,"Mortgage / Rent",Expenses!$B$5:$B$504,"&gt;="&amp;Settings!$C$7),SUMIFS(Expenses!$F$5:$F$504,Expenses!$D$5:$D$504,"Mortgage / Rent",Expenses!$B$5:$B$504,"&gt;="&amp;Settings!$C$7,Expenses!$C$5:$C$504,Dashboard!$C$4)),0)</f>
      </c>
    </row>
    <row r="28" spans="1:2" x14ac:dyDescent="0.25">
      <c r="A28" t="s">
        <v>77</v>
      </c>
      <c r="B28" s="31">
        <f>IFERROR(IF(Dashboard!$C$4="All",SUMIFS(Expenses!$F$5:$F$504,Expenses!$D$5:$D$504,"Supplies",Expenses!$B$5:$B$504,"&gt;="&amp;Settings!$C$7),SUMIFS(Expenses!$F$5:$F$504,Expenses!$D$5:$D$504,"Supplies",Expenses!$B$5:$B$504,"&gt;="&amp;Settings!$C$7,Expenses!$C$5:$C$504,Dashboard!$C$4))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O5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4" customWidth="1"/>
    <col min="4" max="14" width="12" customWidth="1"/>
  </cols>
  <sheetData>
    <row r="1" ht="34" customHeight="1" spans="1:14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2" customHeight="1" spans="1:14" x14ac:dyDescent="0.25">
      <c r="A2" s="3"/>
      <c r="B2" s="4" t="s">
        <v>132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8" customHeight="1" spans="1:1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0" x14ac:dyDescent="0.25">
      <c r="B4" s="8" t="s">
        <v>133</v>
      </c>
      <c r="C4" s="33" t="s">
        <v>134</v>
      </c>
      <c r="E4" s="34">
        <f>CONCATENATE("Reporting year: ",Settings!$C$8)</f>
      </c>
      <c r="F4" s="34"/>
      <c r="G4" s="34"/>
      <c r="H4" s="34"/>
      <c r="I4" s="34"/>
      <c r="J4" s="34"/>
    </row>
    <row r="6" spans="2:2" x14ac:dyDescent="0.25">
      <c r="B6" s="6" t="s">
        <v>135</v>
      </c>
    </row>
    <row r="7" spans="2:13" x14ac:dyDescent="0.25">
      <c r="B7" s="35" t="s">
        <v>136</v>
      </c>
      <c r="C7" s="35"/>
      <c r="D7" s="35" t="s">
        <v>137</v>
      </c>
      <c r="E7" s="35"/>
      <c r="F7" s="35" t="s">
        <v>138</v>
      </c>
      <c r="G7" s="35"/>
      <c r="H7" s="35" t="s">
        <v>139</v>
      </c>
      <c r="I7" s="35"/>
      <c r="J7" s="35" t="s">
        <v>140</v>
      </c>
      <c r="K7" s="35"/>
      <c r="L7" s="35" t="s">
        <v>141</v>
      </c>
      <c r="M7" s="35"/>
    </row>
    <row r="8" spans="2:13" x14ac:dyDescent="0.25">
      <c r="B8" s="36">
        <f>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</f>
      </c>
      <c r="C8" s="36"/>
      <c r="D8" s="37">
        <f>IFERROR(IF(Dashboard!$C$4="All",SUMIFS(Expenses!$F$5:$F$504,Expenses!$B$5:$B$504,"&gt;="&amp;Settings!$C$7,Expenses!$B$5:$B$504,"&lt;="&amp;DATE(Settings!$C$8,12,31)),SUMIFS(Expenses!$F$5:$F$504,Expenses!$B$5:$B$504,"&gt;="&amp;Settings!$C$7,Expenses!$B$5:$B$504,"&lt;="&amp;DATE(Settings!$C$8,12,31),Expenses!$C$5:$C$504,Dashboard!$C$4)),0)</f>
      </c>
      <c r="E8" s="37"/>
      <c r="F8" s="38">
        <f>IFERROR(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-IFERROR(IF(Dashboard!$C$4="All",SUMIFS(Expenses!$F$5:$F$504,Expenses!$B$5:$B$504,"&gt;="&amp;Settings!$C$7,Expenses!$B$5:$B$504,"&lt;="&amp;DATE(Settings!$C$8,12,31)),SUMIFS(Expenses!$F$5:$F$504,Expenses!$B$5:$B$504,"&gt;="&amp;Settings!$C$7,Expenses!$B$5:$B$504,"&lt;="&amp;DATE(Settings!$C$8,12,31),Expenses!$C$5:$C$504,Dashboard!$C$4)),0),0)</f>
      </c>
      <c r="G8" s="38"/>
      <c r="H8" s="39">
        <f>IFERROR(IF($B$8&gt;0,$F$8/$B$8,0),0)</f>
      </c>
      <c r="I8" s="39"/>
      <c r="J8" s="36">
        <f>IFERROR(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-IFERROR(IF(Dashboard!$C$4="All",SUMIFS(Expenses!$F$5:$F$504,Expenses!$B$5:$B$504,"&gt;="&amp;Settings!$C$7,Expenses!$B$5:$B$504,"&lt;="&amp;DATE(Settings!$C$8,12,31)),SUMIFS(Expenses!$F$5:$F$504,Expenses!$B$5:$B$504,"&gt;="&amp;Settings!$C$7,Expenses!$B$5:$B$504,"&lt;="&amp;DATE(Settings!$C$8,12,31),Expenses!$C$5:$C$504,Dashboard!$C$4)),0),0)</f>
      </c>
      <c r="K8" s="36"/>
      <c r="L8" s="40">
        <f>IFERROR(IF(Dashboard!$C$4="All",SUMIFS(Expenses!$F$5:$F$504,Expenses!$B$5:$B$504,"&gt;="&amp;Settings!$C$7,Expenses!$B$5:$B$504,"&lt;="&amp;DATE(Settings!$C$8,12,31),Expenses!$D$5:$D$504,"Mortgage / Rent"),SUMIFS(Expenses!$F$5:$F$504,Expenses!$B$5:$B$504,"&gt;="&amp;Settings!$C$7,Expenses!$B$5:$B$504,"&lt;="&amp;DATE(Settings!$C$8,12,31),Expenses!$D$5:$D$504,"Mortgage / Rent",Expenses!$C$5:$C$504,Dashboard!$C$4)),0)</f>
      </c>
      <c r="M8" s="40"/>
    </row>
    <row r="9" spans="2:13" x14ac:dyDescent="0.25">
      <c r="B9" s="36"/>
      <c r="C9" s="36"/>
      <c r="D9" s="37"/>
      <c r="E9" s="37"/>
      <c r="F9" s="38"/>
      <c r="G9" s="38"/>
      <c r="H9" s="39"/>
      <c r="I9" s="39"/>
      <c r="J9" s="36"/>
      <c r="K9" s="36"/>
      <c r="L9" s="40"/>
      <c r="M9" s="40"/>
    </row>
    <row r="23" spans="2:2" x14ac:dyDescent="0.25">
      <c r="B23" s="6" t="s">
        <v>142</v>
      </c>
    </row>
    <row r="24" ht="24" customHeight="1" spans="2:4" x14ac:dyDescent="0.25">
      <c r="B24" s="10" t="s">
        <v>92</v>
      </c>
      <c r="C24" s="10" t="s">
        <v>117</v>
      </c>
      <c r="D24" s="10" t="s">
        <v>143</v>
      </c>
    </row>
    <row r="25" ht="20" customHeight="1" spans="2:4" x14ac:dyDescent="0.25">
      <c r="B25" s="11" t="s">
        <v>101</v>
      </c>
      <c r="C25" s="41">
        <f>=_calc!B6</f>
      </c>
      <c r="D25" s="42">
        <f>IF($B$8&gt;0,C25/$B$8,0)</f>
      </c>
    </row>
    <row r="26" ht="20" customHeight="1" spans="2:4" x14ac:dyDescent="0.25">
      <c r="B26" s="13" t="s">
        <v>102</v>
      </c>
      <c r="C26" s="43">
        <f>=_calc!B7</f>
      </c>
      <c r="D26" s="44">
        <f>IF($B$8&gt;0,C26/$B$8,0)</f>
      </c>
    </row>
    <row r="27" ht="20" customHeight="1" spans="2:4" x14ac:dyDescent="0.25">
      <c r="B27" s="11" t="s">
        <v>104</v>
      </c>
      <c r="C27" s="41">
        <f>=_calc!B8</f>
      </c>
      <c r="D27" s="42">
        <f>IF($B$8&gt;0,C27/$B$8,0)</f>
      </c>
    </row>
    <row r="28" ht="20" customHeight="1" spans="2:4" x14ac:dyDescent="0.25">
      <c r="B28" s="13" t="s">
        <v>103</v>
      </c>
      <c r="C28" s="43">
        <f>=_calc!B9</f>
      </c>
      <c r="D28" s="44">
        <f>IF($B$8&gt;0,C28/$B$8,0)</f>
      </c>
    </row>
    <row r="29" ht="20" customHeight="1" spans="2:4" x14ac:dyDescent="0.25">
      <c r="B29" s="11" t="s">
        <v>87</v>
      </c>
      <c r="C29" s="41">
        <f>=_calc!B10</f>
      </c>
      <c r="D29" s="42">
        <f>IF($B$8&gt;0,C29/$B$8,0)</f>
      </c>
    </row>
    <row r="32" spans="2:2" x14ac:dyDescent="0.25">
      <c r="B32" s="6" t="s">
        <v>144</v>
      </c>
    </row>
    <row r="33" ht="24" customHeight="1" spans="2:15" x14ac:dyDescent="0.25">
      <c r="B33" s="10" t="s">
        <v>92</v>
      </c>
      <c r="C33" s="10" t="s">
        <v>118</v>
      </c>
      <c r="D33" s="10" t="s">
        <v>119</v>
      </c>
      <c r="E33" s="10" t="s">
        <v>120</v>
      </c>
      <c r="F33" s="10" t="s">
        <v>121</v>
      </c>
      <c r="G33" s="10" t="s">
        <v>122</v>
      </c>
      <c r="H33" s="10" t="s">
        <v>123</v>
      </c>
      <c r="I33" s="10" t="s">
        <v>124</v>
      </c>
      <c r="J33" s="10" t="s">
        <v>125</v>
      </c>
      <c r="K33" s="10" t="s">
        <v>126</v>
      </c>
      <c r="L33" s="10" t="s">
        <v>127</v>
      </c>
      <c r="M33" s="10" t="s">
        <v>128</v>
      </c>
      <c r="N33" s="10" t="s">
        <v>129</v>
      </c>
      <c r="O33" s="10" t="s">
        <v>130</v>
      </c>
    </row>
    <row r="34" ht="20" customHeight="1" spans="2:15" x14ac:dyDescent="0.25">
      <c r="B34" s="11" t="s">
        <v>101</v>
      </c>
      <c r="C34" s="41">
        <f>=_calc!B15</f>
      </c>
      <c r="D34" s="45">
        <f>=_calc!C15</f>
      </c>
      <c r="E34" s="45">
        <f>=_calc!D15</f>
      </c>
      <c r="F34" s="45">
        <f>=_calc!E15</f>
      </c>
      <c r="G34" s="45">
        <f>=_calc!F15</f>
      </c>
      <c r="H34" s="45">
        <f>=_calc!G15</f>
      </c>
      <c r="I34" s="45">
        <f>=_calc!H15</f>
      </c>
      <c r="J34" s="45">
        <f>=_calc!I15</f>
      </c>
      <c r="K34" s="45">
        <f>=_calc!J15</f>
      </c>
      <c r="L34" s="45">
        <f>=_calc!K15</f>
      </c>
      <c r="M34" s="45">
        <f>=_calc!L15</f>
      </c>
      <c r="N34" s="45">
        <f>=_calc!M15</f>
      </c>
      <c r="O34" s="45">
        <f>=_calc!N15</f>
      </c>
    </row>
    <row r="35" ht="20" customHeight="1" spans="2:15" x14ac:dyDescent="0.25">
      <c r="B35" s="13" t="s">
        <v>102</v>
      </c>
      <c r="C35" s="43">
        <f>=_calc!B16</f>
      </c>
      <c r="D35" s="46">
        <f>=_calc!C16</f>
      </c>
      <c r="E35" s="46">
        <f>=_calc!D16</f>
      </c>
      <c r="F35" s="46">
        <f>=_calc!E16</f>
      </c>
      <c r="G35" s="46">
        <f>=_calc!F16</f>
      </c>
      <c r="H35" s="46">
        <f>=_calc!G16</f>
      </c>
      <c r="I35" s="46">
        <f>=_calc!H16</f>
      </c>
      <c r="J35" s="46">
        <f>=_calc!I16</f>
      </c>
      <c r="K35" s="46">
        <f>=_calc!J16</f>
      </c>
      <c r="L35" s="46">
        <f>=_calc!K16</f>
      </c>
      <c r="M35" s="46">
        <f>=_calc!L16</f>
      </c>
      <c r="N35" s="46">
        <f>=_calc!M16</f>
      </c>
      <c r="O35" s="46">
        <f>=_calc!N16</f>
      </c>
    </row>
    <row r="36" ht="20" customHeight="1" spans="2:15" x14ac:dyDescent="0.25">
      <c r="B36" s="11" t="s">
        <v>104</v>
      </c>
      <c r="C36" s="41">
        <f>=_calc!B17</f>
      </c>
      <c r="D36" s="45">
        <f>=_calc!C17</f>
      </c>
      <c r="E36" s="45">
        <f>=_calc!D17</f>
      </c>
      <c r="F36" s="45">
        <f>=_calc!E17</f>
      </c>
      <c r="G36" s="45">
        <f>=_calc!F17</f>
      </c>
      <c r="H36" s="45">
        <f>=_calc!G17</f>
      </c>
      <c r="I36" s="45">
        <f>=_calc!H17</f>
      </c>
      <c r="J36" s="45">
        <f>=_calc!I17</f>
      </c>
      <c r="K36" s="45">
        <f>=_calc!J17</f>
      </c>
      <c r="L36" s="45">
        <f>=_calc!K17</f>
      </c>
      <c r="M36" s="45">
        <f>=_calc!L17</f>
      </c>
      <c r="N36" s="45">
        <f>=_calc!M17</f>
      </c>
      <c r="O36" s="45">
        <f>=_calc!N17</f>
      </c>
    </row>
    <row r="37" ht="20" customHeight="1" spans="2:15" x14ac:dyDescent="0.25">
      <c r="B37" s="13" t="s">
        <v>103</v>
      </c>
      <c r="C37" s="43">
        <f>=_calc!B18</f>
      </c>
      <c r="D37" s="46">
        <f>=_calc!C18</f>
      </c>
      <c r="E37" s="46">
        <f>=_calc!D18</f>
      </c>
      <c r="F37" s="46">
        <f>=_calc!E18</f>
      </c>
      <c r="G37" s="46">
        <f>=_calc!F18</f>
      </c>
      <c r="H37" s="46">
        <f>=_calc!G18</f>
      </c>
      <c r="I37" s="46">
        <f>=_calc!H18</f>
      </c>
      <c r="J37" s="46">
        <f>=_calc!I18</f>
      </c>
      <c r="K37" s="46">
        <f>=_calc!J18</f>
      </c>
      <c r="L37" s="46">
        <f>=_calc!K18</f>
      </c>
      <c r="M37" s="46">
        <f>=_calc!L18</f>
      </c>
      <c r="N37" s="46">
        <f>=_calc!M18</f>
      </c>
      <c r="O37" s="46">
        <f>=_calc!N18</f>
      </c>
    </row>
    <row r="38" ht="20" customHeight="1" spans="2:15" x14ac:dyDescent="0.25">
      <c r="B38" s="11" t="s">
        <v>87</v>
      </c>
      <c r="C38" s="41">
        <f>=_calc!B19</f>
      </c>
      <c r="D38" s="45">
        <f>=_calc!C19</f>
      </c>
      <c r="E38" s="45">
        <f>=_calc!D19</f>
      </c>
      <c r="F38" s="45">
        <f>=_calc!E19</f>
      </c>
      <c r="G38" s="45">
        <f>=_calc!F19</f>
      </c>
      <c r="H38" s="45">
        <f>=_calc!G19</f>
      </c>
      <c r="I38" s="45">
        <f>=_calc!H19</f>
      </c>
      <c r="J38" s="45">
        <f>=_calc!I19</f>
      </c>
      <c r="K38" s="45">
        <f>=_calc!J19</f>
      </c>
      <c r="L38" s="45">
        <f>=_calc!K19</f>
      </c>
      <c r="M38" s="45">
        <f>=_calc!L19</f>
      </c>
      <c r="N38" s="45">
        <f>=_calc!M19</f>
      </c>
      <c r="O38" s="45">
        <f>=_calc!N19</f>
      </c>
    </row>
    <row r="41" spans="2:2" x14ac:dyDescent="0.25">
      <c r="B41" s="6" t="s">
        <v>145</v>
      </c>
    </row>
    <row r="42" ht="24" customHeight="1" spans="2:3" x14ac:dyDescent="0.25">
      <c r="B42" s="10" t="s">
        <v>146</v>
      </c>
      <c r="C42" s="10" t="s">
        <v>41</v>
      </c>
    </row>
    <row r="43" ht="20" customHeight="1" spans="2:3" x14ac:dyDescent="0.25">
      <c r="B43" s="11" t="s">
        <v>147</v>
      </c>
      <c r="C43" s="47">
        <f>IFERROR(IF(Dashboard!$C$4="All",SUMIFS(Income!$G$5:$G$504,Income!$B$5:$B$504,"&gt;="&amp;Settings!$C$7,Income!$B$5:$B$504,"&lt;="&amp;DATE(Settings!$C$8,12,31)),SUMIFS(Income!$G$5:$G$504,Income!$B$5:$B$504,"&gt;="&amp;Settings!$C$7,Income!$B$5:$B$504,"&lt;="&amp;DATE(Settings!$C$8,12,31),Income!$C$5:$C$504,Dashboard!$C$4)),0)</f>
      </c>
    </row>
    <row r="44" ht="20" customHeight="1" spans="2:3" x14ac:dyDescent="0.25">
      <c r="B44" s="13" t="s">
        <v>148</v>
      </c>
      <c r="C44" s="48">
        <f>IFERROR(IF(Dashboard!$C$4="All",COUNTIFS(Income!$B$5:$B$504,"&gt;="&amp;Settings!$C$7,Income!$B$5:$B$504,"&lt;="&amp;DATE(Settings!$C$8,12,31),Income!$L$5:$L$504,"&gt;0"),COUNTIFS(Income!$B$5:$B$504,"&gt;="&amp;Settings!$C$7,Income!$B$5:$B$504,"&lt;="&amp;DATE(Settings!$C$8,12,31),Income!$C$5:$C$504,Dashboard!$C$4,Income!$L$5:$L$504,"&gt;0")),0)</f>
      </c>
    </row>
    <row r="45" ht="20" customHeight="1" spans="2:3" x14ac:dyDescent="0.25">
      <c r="B45" s="11" t="s">
        <v>149</v>
      </c>
      <c r="C45" s="21">
        <f>IFERROR(IF(IF(Dashboard!$C$4="All",COUNTIF(Properties!$F$5:$F$54,"Yes")*Settings!$C$10,Settings!$C$10)&gt;0,IFERROR(IF(Dashboard!$C$4="All",SUMIFS(Income!$G$5:$G$504,Income!$B$5:$B$504,"&gt;="&amp;Settings!$C$7,Income!$B$5:$B$504,"&lt;="&amp;DATE(Settings!$C$8,12,31)),SUMIFS(Income!$G$5:$G$504,Income!$B$5:$B$504,"&gt;="&amp;Settings!$C$7,Income!$B$5:$B$504,"&lt;="&amp;DATE(Settings!$C$8,12,31),Income!$C$5:$C$504,Dashboard!$C$4)),0)/IF(Dashboard!$C$4="All",COUNTIF(Properties!$F$5:$F$54,"Yes")*Settings!$C$10,Settings!$C$10),0),0)</f>
      </c>
    </row>
    <row r="46" ht="20" customHeight="1" spans="2:3" x14ac:dyDescent="0.25">
      <c r="B46" s="13" t="s">
        <v>150</v>
      </c>
      <c r="C46" s="43">
        <f>IFERROR(IF(IFERROR(IF(Dashboard!$C$4="All",SUMIFS(Income!$G$5:$G$504,Income!$B$5:$B$504,"&gt;="&amp;Settings!$C$7,Income!$B$5:$B$504,"&lt;="&amp;DATE(Settings!$C$8,12,31)),SUMIFS(Income!$G$5:$G$504,Income!$B$5:$B$504,"&gt;="&amp;Settings!$C$7,Income!$B$5:$B$504,"&lt;="&amp;DATE(Settings!$C$8,12,31),Income!$C$5:$C$504,Dashboard!$C$4)),0)&gt;0,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/IFERROR(IF(Dashboard!$C$4="All",SUMIFS(Income!$G$5:$G$504,Income!$B$5:$B$504,"&gt;="&amp;Settings!$C$7,Income!$B$5:$B$504,"&lt;="&amp;DATE(Settings!$C$8,12,31)),SUMIFS(Income!$G$5:$G$504,Income!$B$5:$B$504,"&gt;="&amp;Settings!$C$7,Income!$B$5:$B$504,"&lt;="&amp;DATE(Settings!$C$8,12,31),Income!$C$5:$C$504,Dashboard!$C$4)),0),0),0)</f>
      </c>
    </row>
    <row r="47" ht="20" customHeight="1" spans="2:3" x14ac:dyDescent="0.25">
      <c r="B47" s="11" t="s">
        <v>151</v>
      </c>
      <c r="C47" s="41">
        <f>IFERROR(IF(IF(Dashboard!$C$4="All",COUNTIF(Properties!$F$5:$F$54,"Yes")*Settings!$C$10,Settings!$C$10)&gt;0,IFERROR(IF(Dashboard!$C$4="All",SUMIFS(Income!$L$5:$L$504,Income!$B$5:$B$504,"&gt;="&amp;Settings!$C$7,Income!$B$5:$B$504,"&lt;="&amp;DATE(Settings!$C$8,12,31)),SUMIFS(Income!$L$5:$L$504,Income!$B$5:$B$504,"&gt;="&amp;Settings!$C$7,Income!$B$5:$B$504,"&lt;="&amp;DATE(Settings!$C$8,12,31),Income!$C$5:$C$504,Dashboard!$C$4)),0)/IF(Dashboard!$C$4="All",COUNTIF(Properties!$F$5:$F$54,"Yes")*Settings!$C$10,Settings!$C$10),0),0)</f>
      </c>
    </row>
    <row r="48" ht="20" customHeight="1" spans="2:3" x14ac:dyDescent="0.25">
      <c r="B48" s="13" t="s">
        <v>152</v>
      </c>
      <c r="C48" s="43">
        <f>IFERROR(IF(Dashboard!$C$4="All",SUMIFS(Income!$J$5:$J$504,Income!$B$5:$B$504,"&gt;="&amp;Settings!$C$7,Income!$B$5:$B$504,"&lt;="&amp;DATE(Settings!$C$8,12,31)),SUMIFS(Income!$J$5:$J$504,Income!$B$5:$B$504,"&gt;="&amp;Settings!$C$7,Income!$B$5:$B$504,"&lt;="&amp;DATE(Settings!$C$8,12,31),Income!$C$5:$C$504,Dashboard!$C$4)),0)</f>
      </c>
    </row>
    <row r="51" spans="2:2" x14ac:dyDescent="0.25">
      <c r="B51" s="6" t="s">
        <v>153</v>
      </c>
    </row>
    <row r="52" ht="24" customHeight="1" spans="2:4" x14ac:dyDescent="0.25">
      <c r="B52" s="10" t="s">
        <v>67</v>
      </c>
      <c r="C52" s="10" t="s">
        <v>108</v>
      </c>
      <c r="D52" s="10" t="s">
        <v>143</v>
      </c>
    </row>
    <row r="53" ht="20" customHeight="1" spans="2:4" x14ac:dyDescent="0.25">
      <c r="B53" s="11" t="s">
        <v>70</v>
      </c>
      <c r="C53" s="41">
        <f>IFERROR(IF(Dashboard!$C$4="All",SUMIFS(Expenses!$F$5:$F$504,Expenses!$D$5:$D$504,"Cleaning",Expenses!$B$5:$B$504,"&gt;="&amp;Settings!$C$7),SUMIFS(Expenses!$F$5:$F$504,Expenses!$D$5:$D$504,"Cleaning",Expenses!$B$5:$B$504,"&gt;="&amp;Settings!$C$7,Expenses!$C$5:$C$504,Dashboard!$C$4)),0)</f>
      </c>
      <c r="D53" s="42">
        <f>IF($D$8&gt;0,C53/$D$8,0)</f>
      </c>
    </row>
    <row r="54" ht="20" customHeight="1" spans="2:4" x14ac:dyDescent="0.25">
      <c r="B54" s="13" t="s">
        <v>72</v>
      </c>
      <c r="C54" s="43">
        <f>IFERROR(IF(Dashboard!$C$4="All",SUMIFS(Expenses!$F$5:$F$504,Expenses!$D$5:$D$504,"Maintenance",Expenses!$B$5:$B$504,"&gt;="&amp;Settings!$C$7),SUMIFS(Expenses!$F$5:$F$504,Expenses!$D$5:$D$504,"Maintenance",Expenses!$B$5:$B$504,"&gt;="&amp;Settings!$C$7,Expenses!$C$5:$C$504,Dashboard!$C$4)),0)</f>
      </c>
      <c r="D54" s="44">
        <f>IF($D$8&gt;0,C54/$D$8,0)</f>
      </c>
    </row>
    <row r="55" ht="20" customHeight="1" spans="2:4" x14ac:dyDescent="0.25">
      <c r="B55" s="11" t="s">
        <v>73</v>
      </c>
      <c r="C55" s="41">
        <f>IFERROR(IF(Dashboard!$C$4="All",SUMIFS(Expenses!$F$5:$F$504,Expenses!$D$5:$D$504,"Utilities",Expenses!$B$5:$B$504,"&gt;="&amp;Settings!$C$7),SUMIFS(Expenses!$F$5:$F$504,Expenses!$D$5:$D$504,"Utilities",Expenses!$B$5:$B$504,"&gt;="&amp;Settings!$C$7,Expenses!$C$5:$C$504,Dashboard!$C$4)),0)</f>
      </c>
      <c r="D55" s="42">
        <f>IF($D$8&gt;0,C55/$D$8,0)</f>
      </c>
    </row>
    <row r="56" ht="20" customHeight="1" spans="2:4" x14ac:dyDescent="0.25">
      <c r="B56" s="13" t="s">
        <v>75</v>
      </c>
      <c r="C56" s="43">
        <f>IFERROR(IF(Dashboard!$C$4="All",SUMIFS(Expenses!$F$5:$F$504,Expenses!$D$5:$D$504,"Insurance",Expenses!$B$5:$B$504,"&gt;="&amp;Settings!$C$7),SUMIFS(Expenses!$F$5:$F$504,Expenses!$D$5:$D$504,"Insurance",Expenses!$B$5:$B$504,"&gt;="&amp;Settings!$C$7,Expenses!$C$5:$C$504,Dashboard!$C$4)),0)</f>
      </c>
      <c r="D56" s="44">
        <f>IF($D$8&gt;0,C56/$D$8,0)</f>
      </c>
    </row>
    <row r="57" ht="20" customHeight="1" spans="2:4" x14ac:dyDescent="0.25">
      <c r="B57" s="11" t="s">
        <v>76</v>
      </c>
      <c r="C57" s="41">
        <f>IFERROR(IF(Dashboard!$C$4="All",SUMIFS(Expenses!$F$5:$F$504,Expenses!$D$5:$D$504,"Mortgage / Rent",Expenses!$B$5:$B$504,"&gt;="&amp;Settings!$C$7),SUMIFS(Expenses!$F$5:$F$504,Expenses!$D$5:$D$504,"Mortgage / Rent",Expenses!$B$5:$B$504,"&gt;="&amp;Settings!$C$7,Expenses!$C$5:$C$504,Dashboard!$C$4)),0)</f>
      </c>
      <c r="D57" s="42">
        <f>IF($D$8&gt;0,C57/$D$8,0)</f>
      </c>
    </row>
    <row r="58" ht="20" customHeight="1" spans="2:4" x14ac:dyDescent="0.25">
      <c r="B58" s="13" t="s">
        <v>77</v>
      </c>
      <c r="C58" s="43">
        <f>IFERROR(IF(Dashboard!$C$4="All",SUMIFS(Expenses!$F$5:$F$504,Expenses!$D$5:$D$504,"Supplies",Expenses!$B$5:$B$504,"&gt;="&amp;Settings!$C$7),SUMIFS(Expenses!$F$5:$F$504,Expenses!$D$5:$D$504,"Supplies",Expenses!$B$5:$B$504,"&gt;="&amp;Settings!$C$7,Expenses!$C$5:$C$504,Dashboard!$C$4)),0)</f>
      </c>
      <c r="D58" s="44">
        <f>IF($D$8&gt;0,C58/$D$8,0)</f>
      </c>
    </row>
  </sheetData>
  <mergeCells count="16">
    <mergeCell ref="B1:N1"/>
    <mergeCell ref="B2:N2"/>
    <mergeCell ref="B3:N3"/>
    <mergeCell ref="E4:J4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</mergeCells>
  <dataValidations count="1">
    <dataValidation type="list" sqref="C4">
      <formula1>"All,Property 1,Property 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O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2" width="16" customWidth="1"/>
    <col min="3" max="14" width="12" customWidth="1"/>
  </cols>
  <sheetData>
    <row r="1" ht="34" customHeight="1" spans="1:14" x14ac:dyDescent="0.25">
      <c r="A1" s="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2" customHeight="1" spans="1:14" x14ac:dyDescent="0.25">
      <c r="A2" s="4" t="s">
        <v>154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8" customHeight="1" spans="1:1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5" ht="24" customHeight="1" spans="2:15" x14ac:dyDescent="0.25">
      <c r="B5" s="10" t="s">
        <v>146</v>
      </c>
      <c r="C5" s="10" t="s">
        <v>118</v>
      </c>
      <c r="D5" s="10" t="s">
        <v>119</v>
      </c>
      <c r="E5" s="10" t="s">
        <v>120</v>
      </c>
      <c r="F5" s="10" t="s">
        <v>121</v>
      </c>
      <c r="G5" s="10" t="s">
        <v>122</v>
      </c>
      <c r="H5" s="10" t="s">
        <v>123</v>
      </c>
      <c r="I5" s="10" t="s">
        <v>124</v>
      </c>
      <c r="J5" s="10" t="s">
        <v>125</v>
      </c>
      <c r="K5" s="10" t="s">
        <v>126</v>
      </c>
      <c r="L5" s="10" t="s">
        <v>127</v>
      </c>
      <c r="M5" s="10" t="s">
        <v>128</v>
      </c>
      <c r="N5" s="10" t="s">
        <v>129</v>
      </c>
      <c r="O5" s="10" t="s">
        <v>130</v>
      </c>
    </row>
    <row r="6" ht="20" customHeight="1" spans="2:15" x14ac:dyDescent="0.25">
      <c r="B6" s="11" t="s">
        <v>155</v>
      </c>
      <c r="C6" s="49">
        <f>IFERROR(IF(Dashboard!$C$4="All",SUMIFS(Income!$L$5:$L$504,Income!$B$5:$B$504,"&gt;="&amp;DATE(Settings!$C$8,1,1),Income!$B$5:$B$504,"&lt;="&amp;EOMONTH(DATE(Settings!$C$8,1,1),0)),SUMIFS(Income!$L$5:$L$504,Income!$B$5:$B$504,"&gt;="&amp;DATE(Settings!$C$8,1,1),Income!$B$5:$B$504,"&lt;="&amp;EOMONTH(DATE(Settings!$C$8,1,1),0),Income!$C$5:$C$504,Dashboard!$C$4)),0)</f>
      </c>
      <c r="D6" s="22">
        <f>IFERROR(IF(Dashboard!$C$4="All",SUMIFS(Income!$L$5:$L$504,Income!$B$5:$B$504,"&gt;="&amp;DATE(Settings!$C$8,2,1),Income!$B$5:$B$504,"&lt;="&amp;EOMONTH(DATE(Settings!$C$8,2,1),0)),SUMIFS(Income!$L$5:$L$504,Income!$B$5:$B$504,"&gt;="&amp;DATE(Settings!$C$8,2,1),Income!$B$5:$B$504,"&lt;="&amp;EOMONTH(DATE(Settings!$C$8,2,1),0),Income!$C$5:$C$504,Dashboard!$C$4)),0)</f>
      </c>
      <c r="E6" s="22">
        <f>IFERROR(IF(Dashboard!$C$4="All",SUMIFS(Income!$L$5:$L$504,Income!$B$5:$B$504,"&gt;="&amp;DATE(Settings!$C$8,3,1),Income!$B$5:$B$504,"&lt;="&amp;EOMONTH(DATE(Settings!$C$8,3,1),0)),SUMIFS(Income!$L$5:$L$504,Income!$B$5:$B$504,"&gt;="&amp;DATE(Settings!$C$8,3,1),Income!$B$5:$B$504,"&lt;="&amp;EOMONTH(DATE(Settings!$C$8,3,1),0),Income!$C$5:$C$504,Dashboard!$C$4)),0)</f>
      </c>
      <c r="F6" s="22">
        <f>IFERROR(IF(Dashboard!$C$4="All",SUMIFS(Income!$L$5:$L$504,Income!$B$5:$B$504,"&gt;="&amp;DATE(Settings!$C$8,4,1),Income!$B$5:$B$504,"&lt;="&amp;EOMONTH(DATE(Settings!$C$8,4,1),0)),SUMIFS(Income!$L$5:$L$504,Income!$B$5:$B$504,"&gt;="&amp;DATE(Settings!$C$8,4,1),Income!$B$5:$B$504,"&lt;="&amp;EOMONTH(DATE(Settings!$C$8,4,1),0),Income!$C$5:$C$504,Dashboard!$C$4)),0)</f>
      </c>
      <c r="G6" s="22">
        <f>IFERROR(IF(Dashboard!$C$4="All",SUMIFS(Income!$L$5:$L$504,Income!$B$5:$B$504,"&gt;="&amp;DATE(Settings!$C$8,5,1),Income!$B$5:$B$504,"&lt;="&amp;EOMONTH(DATE(Settings!$C$8,5,1),0)),SUMIFS(Income!$L$5:$L$504,Income!$B$5:$B$504,"&gt;="&amp;DATE(Settings!$C$8,5,1),Income!$B$5:$B$504,"&lt;="&amp;EOMONTH(DATE(Settings!$C$8,5,1),0),Income!$C$5:$C$504,Dashboard!$C$4)),0)</f>
      </c>
      <c r="H6" s="22">
        <f>IFERROR(IF(Dashboard!$C$4="All",SUMIFS(Income!$L$5:$L$504,Income!$B$5:$B$504,"&gt;="&amp;DATE(Settings!$C$8,6,1),Income!$B$5:$B$504,"&lt;="&amp;EOMONTH(DATE(Settings!$C$8,6,1),0)),SUMIFS(Income!$L$5:$L$504,Income!$B$5:$B$504,"&gt;="&amp;DATE(Settings!$C$8,6,1),Income!$B$5:$B$504,"&lt;="&amp;EOMONTH(DATE(Settings!$C$8,6,1),0),Income!$C$5:$C$504,Dashboard!$C$4)),0)</f>
      </c>
      <c r="I6" s="22">
        <f>IFERROR(IF(Dashboard!$C$4="All",SUMIFS(Income!$L$5:$L$504,Income!$B$5:$B$504,"&gt;="&amp;DATE(Settings!$C$8,7,1),Income!$B$5:$B$504,"&lt;="&amp;EOMONTH(DATE(Settings!$C$8,7,1),0)),SUMIFS(Income!$L$5:$L$504,Income!$B$5:$B$504,"&gt;="&amp;DATE(Settings!$C$8,7,1),Income!$B$5:$B$504,"&lt;="&amp;EOMONTH(DATE(Settings!$C$8,7,1),0),Income!$C$5:$C$504,Dashboard!$C$4)),0)</f>
      </c>
      <c r="J6" s="22">
        <f>IFERROR(IF(Dashboard!$C$4="All",SUMIFS(Income!$L$5:$L$504,Income!$B$5:$B$504,"&gt;="&amp;DATE(Settings!$C$8,8,1),Income!$B$5:$B$504,"&lt;="&amp;EOMONTH(DATE(Settings!$C$8,8,1),0)),SUMIFS(Income!$L$5:$L$504,Income!$B$5:$B$504,"&gt;="&amp;DATE(Settings!$C$8,8,1),Income!$B$5:$B$504,"&lt;="&amp;EOMONTH(DATE(Settings!$C$8,8,1),0),Income!$C$5:$C$504,Dashboard!$C$4)),0)</f>
      </c>
      <c r="K6" s="22">
        <f>IFERROR(IF(Dashboard!$C$4="All",SUMIFS(Income!$L$5:$L$504,Income!$B$5:$B$504,"&gt;="&amp;DATE(Settings!$C$8,9,1),Income!$B$5:$B$504,"&lt;="&amp;EOMONTH(DATE(Settings!$C$8,9,1),0)),SUMIFS(Income!$L$5:$L$504,Income!$B$5:$B$504,"&gt;="&amp;DATE(Settings!$C$8,9,1),Income!$B$5:$B$504,"&lt;="&amp;EOMONTH(DATE(Settings!$C$8,9,1),0),Income!$C$5:$C$504,Dashboard!$C$4)),0)</f>
      </c>
      <c r="L6" s="22">
        <f>IFERROR(IF(Dashboard!$C$4="All",SUMIFS(Income!$L$5:$L$504,Income!$B$5:$B$504,"&gt;="&amp;DATE(Settings!$C$8,10,1),Income!$B$5:$B$504,"&lt;="&amp;EOMONTH(DATE(Settings!$C$8,10,1),0)),SUMIFS(Income!$L$5:$L$504,Income!$B$5:$B$504,"&gt;="&amp;DATE(Settings!$C$8,10,1),Income!$B$5:$B$504,"&lt;="&amp;EOMONTH(DATE(Settings!$C$8,10,1),0),Income!$C$5:$C$504,Dashboard!$C$4)),0)</f>
      </c>
      <c r="M6" s="22">
        <f>IFERROR(IF(Dashboard!$C$4="All",SUMIFS(Income!$L$5:$L$504,Income!$B$5:$B$504,"&gt;="&amp;DATE(Settings!$C$8,11,1),Income!$B$5:$B$504,"&lt;="&amp;EOMONTH(DATE(Settings!$C$8,11,1),0)),SUMIFS(Income!$L$5:$L$504,Income!$B$5:$B$504,"&gt;="&amp;DATE(Settings!$C$8,11,1),Income!$B$5:$B$504,"&lt;="&amp;EOMONTH(DATE(Settings!$C$8,11,1),0),Income!$C$5:$C$504,Dashboard!$C$4)),0)</f>
      </c>
      <c r="N6" s="22">
        <f>IFERROR(IF(Dashboard!$C$4="All",SUMIFS(Income!$L$5:$L$504,Income!$B$5:$B$504,"&gt;="&amp;DATE(Settings!$C$8,12,1),Income!$B$5:$B$504,"&lt;="&amp;EOMONTH(DATE(Settings!$C$8,12,1),0)),SUMIFS(Income!$L$5:$L$504,Income!$B$5:$B$504,"&gt;="&amp;DATE(Settings!$C$8,12,1),Income!$B$5:$B$504,"&lt;="&amp;EOMONTH(DATE(Settings!$C$8,12,1),0),Income!$C$5:$C$504,Dashboard!$C$4)),0)</f>
      </c>
      <c r="O6" s="22">
        <f>SUM(C6:N6)</f>
      </c>
    </row>
    <row r="7" ht="20" customHeight="1" spans="2:15" x14ac:dyDescent="0.25">
      <c r="B7" s="13" t="s">
        <v>26</v>
      </c>
      <c r="C7" s="50">
        <f>IFERROR(IF(Dashboard!$C$4="All",SUMIFS(Expenses!$F$5:$F$504,Expenses!$B$5:$B$504,"&gt;="&amp;DATE(Settings!$C$8,1,1),Expenses!$B$5:$B$504,"&lt;="&amp;EOMONTH(DATE(Settings!$C$8,1,1),0)),SUMIFS(Expenses!$F$5:$F$504,Expenses!$B$5:$B$504,"&gt;="&amp;DATE(Settings!$C$8,1,1),Expenses!$B$5:$B$504,"&lt;="&amp;EOMONTH(DATE(Settings!$C$8,1,1),0),Expenses!$C$5:$C$504,Dashboard!$C$4)),0)</f>
      </c>
      <c r="D7" s="23">
        <f>IFERROR(IF(Dashboard!$C$4="All",SUMIFS(Expenses!$F$5:$F$504,Expenses!$B$5:$B$504,"&gt;="&amp;DATE(Settings!$C$8,2,1),Expenses!$B$5:$B$504,"&lt;="&amp;EOMONTH(DATE(Settings!$C$8,2,1),0)),SUMIFS(Expenses!$F$5:$F$504,Expenses!$B$5:$B$504,"&gt;="&amp;DATE(Settings!$C$8,2,1),Expenses!$B$5:$B$504,"&lt;="&amp;EOMONTH(DATE(Settings!$C$8,2,1),0),Expenses!$C$5:$C$504,Dashboard!$C$4)),0)</f>
      </c>
      <c r="E7" s="23">
        <f>IFERROR(IF(Dashboard!$C$4="All",SUMIFS(Expenses!$F$5:$F$504,Expenses!$B$5:$B$504,"&gt;="&amp;DATE(Settings!$C$8,3,1),Expenses!$B$5:$B$504,"&lt;="&amp;EOMONTH(DATE(Settings!$C$8,3,1),0)),SUMIFS(Expenses!$F$5:$F$504,Expenses!$B$5:$B$504,"&gt;="&amp;DATE(Settings!$C$8,3,1),Expenses!$B$5:$B$504,"&lt;="&amp;EOMONTH(DATE(Settings!$C$8,3,1),0),Expenses!$C$5:$C$504,Dashboard!$C$4)),0)</f>
      </c>
      <c r="F7" s="23">
        <f>IFERROR(IF(Dashboard!$C$4="All",SUMIFS(Expenses!$F$5:$F$504,Expenses!$B$5:$B$504,"&gt;="&amp;DATE(Settings!$C$8,4,1),Expenses!$B$5:$B$504,"&lt;="&amp;EOMONTH(DATE(Settings!$C$8,4,1),0)),SUMIFS(Expenses!$F$5:$F$504,Expenses!$B$5:$B$504,"&gt;="&amp;DATE(Settings!$C$8,4,1),Expenses!$B$5:$B$504,"&lt;="&amp;EOMONTH(DATE(Settings!$C$8,4,1),0),Expenses!$C$5:$C$504,Dashboard!$C$4)),0)</f>
      </c>
      <c r="G7" s="23">
        <f>IFERROR(IF(Dashboard!$C$4="All",SUMIFS(Expenses!$F$5:$F$504,Expenses!$B$5:$B$504,"&gt;="&amp;DATE(Settings!$C$8,5,1),Expenses!$B$5:$B$504,"&lt;="&amp;EOMONTH(DATE(Settings!$C$8,5,1),0)),SUMIFS(Expenses!$F$5:$F$504,Expenses!$B$5:$B$504,"&gt;="&amp;DATE(Settings!$C$8,5,1),Expenses!$B$5:$B$504,"&lt;="&amp;EOMONTH(DATE(Settings!$C$8,5,1),0),Expenses!$C$5:$C$504,Dashboard!$C$4)),0)</f>
      </c>
      <c r="H7" s="23">
        <f>IFERROR(IF(Dashboard!$C$4="All",SUMIFS(Expenses!$F$5:$F$504,Expenses!$B$5:$B$504,"&gt;="&amp;DATE(Settings!$C$8,6,1),Expenses!$B$5:$B$504,"&lt;="&amp;EOMONTH(DATE(Settings!$C$8,6,1),0)),SUMIFS(Expenses!$F$5:$F$504,Expenses!$B$5:$B$504,"&gt;="&amp;DATE(Settings!$C$8,6,1),Expenses!$B$5:$B$504,"&lt;="&amp;EOMONTH(DATE(Settings!$C$8,6,1),0),Expenses!$C$5:$C$504,Dashboard!$C$4)),0)</f>
      </c>
      <c r="I7" s="23">
        <f>IFERROR(IF(Dashboard!$C$4="All",SUMIFS(Expenses!$F$5:$F$504,Expenses!$B$5:$B$504,"&gt;="&amp;DATE(Settings!$C$8,7,1),Expenses!$B$5:$B$504,"&lt;="&amp;EOMONTH(DATE(Settings!$C$8,7,1),0)),SUMIFS(Expenses!$F$5:$F$504,Expenses!$B$5:$B$504,"&gt;="&amp;DATE(Settings!$C$8,7,1),Expenses!$B$5:$B$504,"&lt;="&amp;EOMONTH(DATE(Settings!$C$8,7,1),0),Expenses!$C$5:$C$504,Dashboard!$C$4)),0)</f>
      </c>
      <c r="J7" s="23">
        <f>IFERROR(IF(Dashboard!$C$4="All",SUMIFS(Expenses!$F$5:$F$504,Expenses!$B$5:$B$504,"&gt;="&amp;DATE(Settings!$C$8,8,1),Expenses!$B$5:$B$504,"&lt;="&amp;EOMONTH(DATE(Settings!$C$8,8,1),0)),SUMIFS(Expenses!$F$5:$F$504,Expenses!$B$5:$B$504,"&gt;="&amp;DATE(Settings!$C$8,8,1),Expenses!$B$5:$B$504,"&lt;="&amp;EOMONTH(DATE(Settings!$C$8,8,1),0),Expenses!$C$5:$C$504,Dashboard!$C$4)),0)</f>
      </c>
      <c r="K7" s="23">
        <f>IFERROR(IF(Dashboard!$C$4="All",SUMIFS(Expenses!$F$5:$F$504,Expenses!$B$5:$B$504,"&gt;="&amp;DATE(Settings!$C$8,9,1),Expenses!$B$5:$B$504,"&lt;="&amp;EOMONTH(DATE(Settings!$C$8,9,1),0)),SUMIFS(Expenses!$F$5:$F$504,Expenses!$B$5:$B$504,"&gt;="&amp;DATE(Settings!$C$8,9,1),Expenses!$B$5:$B$504,"&lt;="&amp;EOMONTH(DATE(Settings!$C$8,9,1),0),Expenses!$C$5:$C$504,Dashboard!$C$4)),0)</f>
      </c>
      <c r="L7" s="23">
        <f>IFERROR(IF(Dashboard!$C$4="All",SUMIFS(Expenses!$F$5:$F$504,Expenses!$B$5:$B$504,"&gt;="&amp;DATE(Settings!$C$8,10,1),Expenses!$B$5:$B$504,"&lt;="&amp;EOMONTH(DATE(Settings!$C$8,10,1),0)),SUMIFS(Expenses!$F$5:$F$504,Expenses!$B$5:$B$504,"&gt;="&amp;DATE(Settings!$C$8,10,1),Expenses!$B$5:$B$504,"&lt;="&amp;EOMONTH(DATE(Settings!$C$8,10,1),0),Expenses!$C$5:$C$504,Dashboard!$C$4)),0)</f>
      </c>
      <c r="M7" s="23">
        <f>IFERROR(IF(Dashboard!$C$4="All",SUMIFS(Expenses!$F$5:$F$504,Expenses!$B$5:$B$504,"&gt;="&amp;DATE(Settings!$C$8,11,1),Expenses!$B$5:$B$504,"&lt;="&amp;EOMONTH(DATE(Settings!$C$8,11,1),0)),SUMIFS(Expenses!$F$5:$F$504,Expenses!$B$5:$B$504,"&gt;="&amp;DATE(Settings!$C$8,11,1),Expenses!$B$5:$B$504,"&lt;="&amp;EOMONTH(DATE(Settings!$C$8,11,1),0),Expenses!$C$5:$C$504,Dashboard!$C$4)),0)</f>
      </c>
      <c r="N7" s="23">
        <f>IFERROR(IF(Dashboard!$C$4="All",SUMIFS(Expenses!$F$5:$F$504,Expenses!$B$5:$B$504,"&gt;="&amp;DATE(Settings!$C$8,12,1),Expenses!$B$5:$B$504,"&lt;="&amp;EOMONTH(DATE(Settings!$C$8,12,1),0)),SUMIFS(Expenses!$F$5:$F$504,Expenses!$B$5:$B$504,"&gt;="&amp;DATE(Settings!$C$8,12,1),Expenses!$B$5:$B$504,"&lt;="&amp;EOMONTH(DATE(Settings!$C$8,12,1),0),Expenses!$C$5:$C$504,Dashboard!$C$4)),0)</f>
      </c>
      <c r="O7" s="23">
        <f>SUM(C7:N7)</f>
      </c>
    </row>
    <row r="8" spans="2:15" x14ac:dyDescent="0.25">
      <c r="B8" s="8" t="s">
        <v>156</v>
      </c>
      <c r="C8" s="51">
        <f>C6-C7</f>
      </c>
      <c r="D8" s="51">
        <f>D6-D7</f>
      </c>
      <c r="E8" s="51">
        <f>E6-E7</f>
      </c>
      <c r="F8" s="51">
        <f>F6-F7</f>
      </c>
      <c r="G8" s="51">
        <f>G6-G7</f>
      </c>
      <c r="H8" s="51">
        <f>H6-H7</f>
      </c>
      <c r="I8" s="51">
        <f>I6-I7</f>
      </c>
      <c r="J8" s="51">
        <f>J6-J7</f>
      </c>
      <c r="K8" s="51">
        <f>K6-K7</f>
      </c>
      <c r="L8" s="51">
        <f>L6-L7</f>
      </c>
      <c r="M8" s="51">
        <f>M6-M7</f>
      </c>
      <c r="N8" s="51">
        <f>N6-N7</f>
      </c>
      <c r="O8" s="31">
        <f>SUM(C8:N8)</f>
      </c>
    </row>
  </sheetData>
  <mergeCells count="3">
    <mergeCell ref="A1:N1"/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O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4" customWidth="1"/>
    <col min="2" max="2" width="16" customWidth="1"/>
    <col min="3" max="14" width="12" customWidth="1"/>
  </cols>
  <sheetData>
    <row r="1" ht="34" customHeight="1" spans="1:14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2" customHeight="1" spans="1:14" x14ac:dyDescent="0.25">
      <c r="A2" s="4" t="s">
        <v>157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8" customHeight="1" spans="1:14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5" ht="24" customHeight="1" spans="2:15" x14ac:dyDescent="0.25">
      <c r="B5" s="10" t="s">
        <v>146</v>
      </c>
      <c r="C5" s="10" t="s">
        <v>118</v>
      </c>
      <c r="D5" s="10" t="s">
        <v>119</v>
      </c>
      <c r="E5" s="10" t="s">
        <v>120</v>
      </c>
      <c r="F5" s="10" t="s">
        <v>121</v>
      </c>
      <c r="G5" s="10" t="s">
        <v>122</v>
      </c>
      <c r="H5" s="10" t="s">
        <v>123</v>
      </c>
      <c r="I5" s="10" t="s">
        <v>124</v>
      </c>
      <c r="J5" s="10" t="s">
        <v>125</v>
      </c>
      <c r="K5" s="10" t="s">
        <v>126</v>
      </c>
      <c r="L5" s="10" t="s">
        <v>127</v>
      </c>
      <c r="M5" s="10" t="s">
        <v>128</v>
      </c>
      <c r="N5" s="10" t="s">
        <v>129</v>
      </c>
      <c r="O5" s="10" t="s">
        <v>130</v>
      </c>
    </row>
    <row r="6" ht="20" customHeight="1" spans="2:15" x14ac:dyDescent="0.25">
      <c r="B6" s="11" t="s">
        <v>158</v>
      </c>
      <c r="C6" s="49">
        <f>'Monthly P&amp;L'!C6</f>
      </c>
      <c r="D6" s="22">
        <f>'Monthly P&amp;L'!D6</f>
      </c>
      <c r="E6" s="22">
        <f>'Monthly P&amp;L'!E6</f>
      </c>
      <c r="F6" s="22">
        <f>'Monthly P&amp;L'!F6</f>
      </c>
      <c r="G6" s="22">
        <f>'Monthly P&amp;L'!G6</f>
      </c>
      <c r="H6" s="22">
        <f>'Monthly P&amp;L'!H6</f>
      </c>
      <c r="I6" s="22">
        <f>'Monthly P&amp;L'!I6</f>
      </c>
      <c r="J6" s="22">
        <f>'Monthly P&amp;L'!J6</f>
      </c>
      <c r="K6" s="22">
        <f>'Monthly P&amp;L'!K6</f>
      </c>
      <c r="L6" s="22">
        <f>'Monthly P&amp;L'!L6</f>
      </c>
      <c r="M6" s="22">
        <f>'Monthly P&amp;L'!M6</f>
      </c>
      <c r="N6" s="22">
        <f>'Monthly P&amp;L'!N6</f>
      </c>
      <c r="O6" s="22">
        <f>SUM(C6:N6)</f>
      </c>
    </row>
    <row r="7" ht="20" customHeight="1" spans="2:15" x14ac:dyDescent="0.25">
      <c r="B7" s="13" t="s">
        <v>159</v>
      </c>
      <c r="C7" s="50">
        <f>'Monthly P&amp;L'!C7</f>
      </c>
      <c r="D7" s="23">
        <f>'Monthly P&amp;L'!D7</f>
      </c>
      <c r="E7" s="23">
        <f>'Monthly P&amp;L'!E7</f>
      </c>
      <c r="F7" s="23">
        <f>'Monthly P&amp;L'!F7</f>
      </c>
      <c r="G7" s="23">
        <f>'Monthly P&amp;L'!G7</f>
      </c>
      <c r="H7" s="23">
        <f>'Monthly P&amp;L'!H7</f>
      </c>
      <c r="I7" s="23">
        <f>'Monthly P&amp;L'!I7</f>
      </c>
      <c r="J7" s="23">
        <f>'Monthly P&amp;L'!J7</f>
      </c>
      <c r="K7" s="23">
        <f>'Monthly P&amp;L'!K7</f>
      </c>
      <c r="L7" s="23">
        <f>'Monthly P&amp;L'!L7</f>
      </c>
      <c r="M7" s="23">
        <f>'Monthly P&amp;L'!M7</f>
      </c>
      <c r="N7" s="23">
        <f>'Monthly P&amp;L'!N7</f>
      </c>
      <c r="O7" s="23">
        <f>SUM(C7:N7)</f>
      </c>
    </row>
    <row r="8" spans="2:15" x14ac:dyDescent="0.25">
      <c r="B8" t="s">
        <v>160</v>
      </c>
      <c r="C8" s="52">
        <f>C6-C7</f>
      </c>
      <c r="D8" s="52">
        <f>D6-D7</f>
      </c>
      <c r="E8" s="52">
        <f>E6-E7</f>
      </c>
      <c r="F8" s="52">
        <f>F6-F7</f>
      </c>
      <c r="G8" s="52">
        <f>G6-G7</f>
      </c>
      <c r="H8" s="52">
        <f>H6-H7</f>
      </c>
      <c r="I8" s="52">
        <f>I6-I7</f>
      </c>
      <c r="J8" s="52">
        <f>J6-J7</f>
      </c>
      <c r="K8" s="52">
        <f>K6-K7</f>
      </c>
      <c r="L8" s="52">
        <f>L6-L7</f>
      </c>
      <c r="M8" s="52">
        <f>M6-M7</f>
      </c>
      <c r="N8" s="52">
        <f>N6-N7</f>
      </c>
      <c r="O8" s="31">
        <f>SUM(C8:N8)</f>
      </c>
    </row>
  </sheetData>
  <mergeCells count="3">
    <mergeCell ref="A1:N1"/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Settings</vt:lpstr>
      <vt:lpstr>Properties</vt:lpstr>
      <vt:lpstr>Categories</vt:lpstr>
      <vt:lpstr>Income</vt:lpstr>
      <vt:lpstr>Expenses</vt:lpstr>
      <vt:lpstr>_calc</vt:lpstr>
      <vt:lpstr>Dashboard</vt:lpstr>
      <vt:lpstr>Monthly P&amp;L</vt:lpstr>
      <vt:lpstr>Cashflow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nogvia</dc:creator>
  <dc:title/>
  <dc:subject/>
  <dc:description/>
  <cp:keywords/>
  <cp:category/>
  <cp:lastModifiedBy>Unknown</cp:lastModifiedBy>
  <dcterms:created xsi:type="dcterms:W3CDTF">2026-08-26T04:06:19Z</dcterms:created>
  <dcterms:modified xsi:type="dcterms:W3CDTF">2026-08-26T04:06:19Z</dcterms:modified>
</cp:coreProperties>
</file>